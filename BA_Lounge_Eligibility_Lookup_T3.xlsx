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Dictionary" sheetId="2" state="visible" r:id="rId2"/>
    <sheet xmlns:r="http://schemas.openxmlformats.org/officeDocument/2006/relationships" name="Data Preparation" sheetId="3" state="visible" r:id="rId3"/>
    <sheet xmlns:r="http://schemas.openxmlformats.org/officeDocument/2006/relationships" name="Recommended Lookup" sheetId="4" state="visible" r:id="rId4"/>
    <sheet xmlns:r="http://schemas.openxmlformats.org/officeDocument/2006/relationships" name="Lookup Table" sheetId="5" state="visible" r:id="rId5"/>
    <sheet xmlns:r="http://schemas.openxmlformats.org/officeDocument/2006/relationships" name="Schedule Sample" sheetId="6" state="visible" r:id="rId6"/>
    <sheet xmlns:r="http://schemas.openxmlformats.org/officeDocument/2006/relationships" name="Assumptions" sheetId="7" state="visible" r:id="rId7"/>
    <sheet xmlns:r="http://schemas.openxmlformats.org/officeDocument/2006/relationships" name="Worked Example" sheetId="8" state="visible" r:id="rId8"/>
    <sheet xmlns:r="http://schemas.openxmlformats.org/officeDocument/2006/relationships" name="Justification" sheetId="9" state="visible" r:id="rId9"/>
  </sheets>
  <definedNames/>
  <calcPr calcId="124519" fullCalcOnLoad="1"/>
</workbook>
</file>

<file path=xl/styles.xml><?xml version="1.0" encoding="utf-8"?>
<styleSheet xmlns="http://schemas.openxmlformats.org/spreadsheetml/2006/main">
  <numFmts count="5">
    <numFmt numFmtId="164" formatCode="0.0%"/>
    <numFmt numFmtId="165" formatCode="+0.0&quot;pp&quot;;-0.0&quot;pp&quot;;0.0&quot;pp&quot;"/>
    <numFmt numFmtId="166" formatCode="+#,##0;-#,##0"/>
    <numFmt numFmtId="167" formatCode="+0.0%;-0.0%"/>
    <numFmt numFmtId="168" formatCode="0.00&quot;x&quot;"/>
  </numFmts>
  <fonts count="12">
    <font>
      <name val="Calibri"/>
      <family val="2"/>
      <color theme="1"/>
      <sz val="11"/>
      <scheme val="minor"/>
    </font>
    <font>
      <b val="1"/>
      <color rgb="000B2D4D"/>
      <sz val="15"/>
    </font>
    <font>
      <i val="1"/>
      <color rgb="00595959"/>
      <sz val="10"/>
    </font>
    <font>
      <b val="1"/>
      <color rgb="00FFFFFF"/>
      <sz val="11"/>
    </font>
    <font>
      <b val="1"/>
      <color rgb="000B2D4D"/>
    </font>
    <font>
      <b val="1"/>
      <color rgb="000B2D4D"/>
      <sz val="12"/>
    </font>
    <font>
      <b val="1"/>
      <color rgb="00FFFFFF"/>
    </font>
    <font>
      <b val="1"/>
      <color rgb="00333333"/>
    </font>
    <font>
      <i val="1"/>
      <color rgb="00595959"/>
    </font>
    <font>
      <b val="1"/>
      <color rgb="00FFFFFF"/>
      <sz val="9"/>
    </font>
    <font>
      <color rgb="00333333"/>
    </font>
    <font>
      <b val="1"/>
    </font>
  </fonts>
  <fills count="4">
    <fill>
      <patternFill/>
    </fill>
    <fill>
      <patternFill patternType="gray125"/>
    </fill>
    <fill>
      <patternFill patternType="solid">
        <fgColor rgb="000B2D4D"/>
      </patternFill>
    </fill>
    <fill>
      <patternFill patternType="solid">
        <fgColor rgb="00F2F2F2"/>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46">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xf numFmtId="0" fontId="0" fillId="0" borderId="1" applyAlignment="1" pivotButton="0" quotePrefix="0" xfId="0">
      <alignment vertical="top" wrapText="1"/>
    </xf>
    <xf numFmtId="0" fontId="5" fillId="0" borderId="0" pivotButton="0" quotePrefix="0" xfId="0"/>
    <xf numFmtId="0" fontId="0" fillId="0" borderId="1" applyAlignment="1" pivotButton="0" quotePrefix="0" xfId="0">
      <alignment horizontal="left"/>
    </xf>
    <xf numFmtId="164" fontId="0" fillId="0" borderId="1" applyAlignment="1" pivotButton="0" quotePrefix="0" xfId="0">
      <alignment horizontal="center"/>
    </xf>
    <xf numFmtId="165" fontId="0" fillId="0" borderId="1" applyAlignment="1" pivotButton="0" quotePrefix="0" xfId="0">
      <alignment horizontal="center"/>
    </xf>
    <xf numFmtId="3" fontId="0" fillId="0" borderId="1" applyAlignment="1" pivotButton="0" quotePrefix="0" xfId="0">
      <alignment horizontal="center"/>
    </xf>
    <xf numFmtId="0" fontId="0" fillId="0" borderId="1" applyAlignment="1" pivotButton="0" quotePrefix="0" xfId="0">
      <alignment vertical="center" wrapText="1"/>
    </xf>
    <xf numFmtId="0" fontId="0" fillId="3" borderId="1" applyAlignment="1" pivotButton="0" quotePrefix="0" xfId="0">
      <alignment horizontal="left"/>
    </xf>
    <xf numFmtId="164" fontId="0" fillId="3" borderId="1" applyAlignment="1" pivotButton="0" quotePrefix="0" xfId="0">
      <alignment horizontal="center"/>
    </xf>
    <xf numFmtId="165" fontId="0" fillId="3" borderId="1" applyAlignment="1" pivotButton="0" quotePrefix="0" xfId="0">
      <alignment horizontal="center"/>
    </xf>
    <xf numFmtId="3" fontId="0" fillId="3" borderId="1" applyAlignment="1" pivotButton="0" quotePrefix="0" xfId="0">
      <alignment horizontal="center"/>
    </xf>
    <xf numFmtId="0" fontId="0" fillId="3" borderId="1" applyAlignment="1" pivotButton="0" quotePrefix="0" xfId="0">
      <alignment vertical="center" wrapText="1"/>
    </xf>
    <xf numFmtId="0" fontId="0" fillId="0" borderId="1" pivotButton="0" quotePrefix="0" xfId="0"/>
    <xf numFmtId="0" fontId="0" fillId="3" borderId="1" pivotButton="0" quotePrefix="0" xfId="0"/>
    <xf numFmtId="0" fontId="6" fillId="2" borderId="1" applyAlignment="1" pivotButton="0" quotePrefix="0" xfId="0">
      <alignment horizontal="left"/>
    </xf>
    <xf numFmtId="0" fontId="6" fillId="2" borderId="1" applyAlignment="1" pivotButton="0" quotePrefix="0" xfId="0">
      <alignment horizontal="center"/>
    </xf>
    <xf numFmtId="3" fontId="6" fillId="2" borderId="1" applyAlignment="1" pivotButton="0" quotePrefix="0" xfId="0">
      <alignment horizontal="center"/>
    </xf>
    <xf numFmtId="0" fontId="7" fillId="0" borderId="1" applyAlignment="1" pivotButton="0" quotePrefix="0" xfId="0">
      <alignment vertical="center"/>
    </xf>
    <xf numFmtId="3" fontId="4" fillId="0" borderId="1" applyAlignment="1" pivotButton="0" quotePrefix="0" xfId="0">
      <alignment horizontal="center"/>
    </xf>
    <xf numFmtId="0" fontId="8" fillId="0" borderId="1" pivotButton="0" quotePrefix="0" xfId="0"/>
    <xf numFmtId="0" fontId="6" fillId="2" borderId="1" applyAlignment="1" pivotButton="0" quotePrefix="0" xfId="0">
      <alignment horizontal="center" vertical="center" wrapText="1"/>
    </xf>
    <xf numFmtId="0" fontId="0" fillId="2" borderId="1" pivotButton="0" quotePrefix="0" xfId="0"/>
    <xf numFmtId="0" fontId="9" fillId="2" borderId="1" applyAlignment="1" pivotButton="0" quotePrefix="0" xfId="0">
      <alignment horizontal="center"/>
    </xf>
    <xf numFmtId="0" fontId="10" fillId="0" borderId="1" applyAlignment="1" pivotButton="0" quotePrefix="0" xfId="0">
      <alignment vertical="center"/>
    </xf>
    <xf numFmtId="166" fontId="0" fillId="0" borderId="1" applyAlignment="1" pivotButton="0" quotePrefix="0" xfId="0">
      <alignment horizontal="center"/>
    </xf>
    <xf numFmtId="167" fontId="0" fillId="0" borderId="1" applyAlignment="1" pivotButton="0" quotePrefix="0" xfId="0">
      <alignment horizontal="center"/>
    </xf>
    <xf numFmtId="0" fontId="10" fillId="3" borderId="1" applyAlignment="1" pivotButton="0" quotePrefix="0" xfId="0">
      <alignment vertical="center"/>
    </xf>
    <xf numFmtId="166" fontId="0" fillId="3" borderId="1" applyAlignment="1" pivotButton="0" quotePrefix="0" xfId="0">
      <alignment horizontal="center"/>
    </xf>
    <xf numFmtId="167" fontId="0" fillId="3" borderId="1" applyAlignment="1" pivotButton="0" quotePrefix="0" xfId="0">
      <alignment horizontal="center"/>
    </xf>
    <xf numFmtId="0" fontId="6" fillId="2" borderId="1" applyAlignment="1" pivotButton="0" quotePrefix="0" xfId="0">
      <alignment horizontal="left" vertical="center"/>
    </xf>
    <xf numFmtId="0" fontId="0" fillId="0" borderId="4" pivotButton="0" quotePrefix="0" xfId="0"/>
    <xf numFmtId="0" fontId="0" fillId="0" borderId="5" pivotButton="0" quotePrefix="0" xfId="0"/>
    <xf numFmtId="166" fontId="6" fillId="2" borderId="1" applyAlignment="1" pivotButton="0" quotePrefix="0" xfId="0">
      <alignment horizontal="center"/>
    </xf>
    <xf numFmtId="167" fontId="6" fillId="2" borderId="1" applyAlignment="1" pivotButton="0" quotePrefix="0" xfId="0">
      <alignment horizontal="center"/>
    </xf>
    <xf numFmtId="0" fontId="7" fillId="0" borderId="1" applyAlignment="1" pivotButton="0" quotePrefix="0" xfId="0">
      <alignment vertical="top" wrapText="1"/>
    </xf>
    <xf numFmtId="168" fontId="0" fillId="0" borderId="1" applyAlignment="1" pivotButton="0" quotePrefix="0" xfId="0">
      <alignment horizontal="center"/>
    </xf>
    <xf numFmtId="0" fontId="11" fillId="0" borderId="1" applyAlignment="1" pivotButton="0" quotePrefix="0" xfId="0">
      <alignment vertical="top" wrapText="1"/>
    </xf>
    <xf numFmtId="0" fontId="0" fillId="0" borderId="1" applyAlignment="1" pivotButton="0" quotePrefix="0" xfId="0">
      <alignment horizontal="center"/>
    </xf>
    <xf numFmtId="0" fontId="6" fillId="2" borderId="1" pivotButton="0" quotePrefix="0" xfId="0"/>
    <xf numFmtId="0" fontId="4"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22" customWidth="1" min="1" max="1"/>
    <col width="120" customWidth="1" min="2" max="2"/>
  </cols>
  <sheetData>
    <row r="1">
      <c r="A1" s="1" t="inlineStr">
        <is>
          <t>Lounge Eligibility Lookup Table - LHR Terminal 3</t>
        </is>
      </c>
    </row>
    <row r="2">
      <c r="A2" s="2" t="inlineStr">
        <is>
          <t>Schedule-agnostic model for estimating lounge demand by tier</t>
        </is>
      </c>
    </row>
    <row r="4">
      <c r="A4" s="3" t="inlineStr">
        <is>
          <t>Item</t>
        </is>
      </c>
      <c r="B4" s="3" t="inlineStr">
        <is>
          <t>Detail</t>
        </is>
      </c>
    </row>
    <row r="5" ht="42" customHeight="1">
      <c r="A5" s="4" t="inlineStr">
        <is>
          <t>Purpose</t>
        </is>
      </c>
      <c r="B5" s="5" t="inlineStr">
        <is>
          <t>Estimate the share of passengers on a flight who are eligible for each BA lounge tier at Heathrow T3, without needing flight numbers, aircraft types or seat maps.</t>
        </is>
      </c>
    </row>
    <row r="6" ht="105" customHeight="1">
      <c r="A6" s="4" t="inlineStr">
        <is>
          <t>How the model was built</t>
        </is>
      </c>
      <c r="B6" s="5" t="inlineStr">
        <is>
          <t>1) Decomposed BA's published access rules into demand drivers (First cabin + card status -&gt; Tier 1, BA Gold -&gt; Tier 2, Club cabin + Silver -&gt; Tier 3), with each passenger counted once at their highest tier. 2) Chose two schedule-agnostic grouping dimensions - Route Group (5 buckets) and Time Band (3 windows). 3) Set neutral baseline (assumption) rates per route group x tier, flexed by business intensity multipliers. 4) Reviewed the BA Summer Schedule dataset (10000 flights, LHR, Apr-Oct 2025) and assigned every flight to the same 15 categories. 5) Recalibrated: computed verified category rates from the schedule data (eligible pax / boarded pax at 85% load factor) - baseline assumptions ran +46% vs actual on a representative day, so the Recommended Lookup now uses verified rates. 6) Applied both models to a representative sample day with live SUMIFS formulas and compared against the dataset's actual TIER1/2/3_ELIGIBLE_PAX.</t>
        </is>
      </c>
    </row>
    <row r="7" ht="68" customHeight="1">
      <c r="A7" s="4" t="inlineStr">
        <is>
          <t>How to use</t>
        </is>
      </c>
      <c r="B7" s="5" t="inlineStr">
        <is>
          <t>1) Classify each flight in your future schedule by Route Group and Time Band. 2) Look up Tier 1/2/3 eligibility % on the 'Recommended Lookup' sheet (data-calibrated; the 'Lookup Table' sheet is the assumption baseline kept for transparency). 3) Multiply by boarded passengers. 4) Compare category/peak totals with lounge capacity.</t>
        </is>
      </c>
    </row>
    <row r="8" ht="68" customHeight="1">
      <c r="A8" s="4" t="inlineStr">
        <is>
          <t>Representative sample</t>
        </is>
      </c>
      <c r="B8" s="5" t="inlineStr">
        <is>
          <t>18 June 2025 - a full operating day at LHR covering all 4 schedule regions and all 3 time bands (44 flights, 10,471 seats, 8,901 passengers at 85% LF). The Schedule Sample sheet assigns each flight to a category, applies the recommended percentages and compares with the dataset's own eligible-pax counts.</t>
        </is>
      </c>
    </row>
    <row r="9" ht="68" customHeight="1">
      <c r="A9" s="4" t="inlineStr">
        <is>
          <t>Schedule validation</t>
        </is>
      </c>
      <c r="B9" s="5" t="inlineStr">
        <is>
          <t>All 10,000 flights were grouped and aggregated: Europe &amp; Domestic is the highest-eligibility group (25.1-25.5% of passengers) and long-haul groups cluster at 14.9-16.2%; within-group time-of-day spread is at most 1.1pp versus a 10.6pp spread between route groups - so route group is the dominant driver. Verified rates replace the baseline assumptions; time multipliers are effectively 1.00 in the recommended table.</t>
        </is>
      </c>
    </row>
    <row r="10" ht="42" customHeight="1">
      <c r="A10" s="4" t="inlineStr">
        <is>
          <t>Grouping dimensions</t>
        </is>
      </c>
      <c r="B10" s="5" t="inlineStr">
        <is>
          <t>Route Group (5): Europe &amp; Domestic, North America, Asia &amp; Oceania, Middle East &amp; Africa, South America. Time Band (3): Early morning 05:00-09:59, Midday 10:00-15:59, Evening 16:00-22:59 (mapped from the dataset's 4 TIME_OF_DAY values by clock time).</t>
        </is>
      </c>
    </row>
    <row r="11" ht="42" customHeight="1">
      <c r="A11" s="4" t="inlineStr">
        <is>
          <t>Tier definitions</t>
        </is>
      </c>
      <c r="B11" s="5" t="inlineStr">
        <is>
          <t>Tier 1 = Concorde Room (First Class, BA premier cardholders, Gold Guest List). Tier 2 = First Lounge (BA Gold). Tier 3 = Club Lounge (Club World/Club Europe, BA Silver).</t>
        </is>
      </c>
    </row>
    <row r="12" ht="42" customHeight="1">
      <c r="A12" s="4" t="inlineStr">
        <is>
          <t>Tier 1 caveat</t>
        </is>
      </c>
      <c r="B12" s="5" t="inlineStr">
        <is>
          <t>There is no Concorde Room at Terminal 3 today. Tier 1 percentages model passengers who would qualify for that level of service, as a hypothetical/potential space to inform whether a Tier 1 lounge may be needed - not a confirmed development.</t>
        </is>
      </c>
    </row>
    <row r="13" ht="42" customHeight="1">
      <c r="A13" s="4" t="inlineStr">
        <is>
          <t>Counting rule</t>
        </is>
      </c>
      <c r="B13" s="5" t="inlineStr">
        <is>
          <t>Mutually exclusive: every passenger is counted once, at the highest tier they qualify for. Percentages are of total boarded passengers on the flight and sum to total lounge-eligible share.</t>
        </is>
      </c>
    </row>
    <row r="14" ht="42" customHeight="1">
      <c r="A14" s="4" t="inlineStr">
        <is>
          <t>Sheets</t>
        </is>
      </c>
      <c r="B14" s="5" t="inlineStr">
        <is>
          <t>9 sheets - see the sheet-by-sheet guide below this table.</t>
        </is>
      </c>
    </row>
    <row r="15" ht="42" customHeight="1">
      <c r="A15" s="4" t="inlineStr">
        <is>
          <t>Refresh cadence</t>
        </is>
      </c>
      <c r="B15" s="5" t="inlineStr">
        <is>
          <t>Re-run the category aggregation each schedule season (or against lounge access scans); only the rate cells change - groupings, formulas and sheet structure stay constant so results remain comparable.</t>
        </is>
      </c>
    </row>
    <row r="17">
      <c r="A17" s="6" t="inlineStr">
        <is>
          <t>Sheet-by-sheet guide</t>
        </is>
      </c>
    </row>
    <row r="18">
      <c r="A18" s="3" t="inlineStr">
        <is>
          <t>Sheet</t>
        </is>
      </c>
      <c r="B18" s="3" t="inlineStr">
        <is>
          <t>What it contains and how to use it</t>
        </is>
      </c>
    </row>
    <row r="19" ht="38" customHeight="1">
      <c r="A19" s="4" t="inlineStr">
        <is>
          <t>Read Me</t>
        </is>
      </c>
      <c r="B19" s="5" t="inlineStr">
        <is>
          <t>This page: the purpose of the model, how it was built and validated, how to use it, grouping dimensions, tier definitions, counting rules, and this sheet guide. Start here.</t>
        </is>
      </c>
    </row>
    <row r="20" ht="53" customHeight="1">
      <c r="A20" s="4" t="inlineStr">
        <is>
          <t>Dictionary</t>
        </is>
      </c>
      <c r="B20" s="5" t="inlineStr">
        <is>
          <t>46 terms explained: abbreviations (STD, Pax, pp, LF), lounge tier names, model concepts (baseline / verified / recommended rate, variance) and every column of the Forage source dataset. Refer to it whenever a term on another sheet is unfamiliar.</t>
        </is>
      </c>
    </row>
    <row r="21" ht="68" customHeight="1">
      <c r="A21" s="4" t="inlineStr">
        <is>
          <t>Data Preparation</t>
        </is>
      </c>
      <c r="B21" s="5" t="inlineStr">
        <is>
          <t>The audit trail - 11 steps showing exactly what was done to the Forage summer schedule to make it work with the lookup: parsing FLIGHT_TIME, mapping the dataset's 4 TIME_OF_DAY values to the model's 3 bands by clock hour, mapping ARRIVAL_REGION to route groups, converting seats to passengers at 85% load factor, calculating verified rates, and choosing the sample day.</t>
        </is>
      </c>
    </row>
    <row r="22" ht="68" customHeight="1">
      <c r="A22" s="4" t="inlineStr">
        <is>
          <t>Recommended Lookup</t>
        </is>
      </c>
      <c r="B22" s="5" t="inlineStr">
        <is>
          <t>THE MAIN DELIVERABLE. A reusable 15-row table (5 route groups x 3 time bands) of verified Tier 1/2/3 eligibility percentages of boarded passengers, with total eligible %, the old baseline percentages for comparison, variance in pp, and the number of flights each rate rests on. Use these percentages for all future lounge demand estimates - multiply by expected passengers.</t>
        </is>
      </c>
    </row>
    <row r="23" ht="38" customHeight="1">
      <c r="A23" s="4" t="inlineStr">
        <is>
          <t>Lookup Table</t>
        </is>
      </c>
      <c r="B23" s="5" t="inlineStr">
        <is>
          <t>The original assumption-based percentages from before validation against the schedule data, kept unchanged for audit and transparency. It still drives the Worked Example. Superseded by 'Recommended Lookup' for planning.</t>
        </is>
      </c>
    </row>
    <row r="24" ht="68" customHeight="1">
      <c r="A24" s="4" t="inlineStr">
        <is>
          <t>Schedule Sample</t>
        </is>
      </c>
      <c r="B24" s="5" t="inlineStr">
        <is>
          <t>The lookup table tested on real data: every one of the 44 LHR departures on 18 June 2025, classified into a route group and time band, with recommended percentages pulled by live SUMIFS, eligible passengers modelled per tier, and compared with the dataset's actual TIER1/2/3 counts. The summary block underneath gives the verdict: modelled 1,713 vs actual 1,557 (+10%), versus the baseline model's 2,281 (+46%).</t>
        </is>
      </c>
    </row>
    <row r="25" ht="53" customHeight="1">
      <c r="A25" s="4" t="inlineStr">
        <is>
          <t>Assumptions</t>
        </is>
      </c>
      <c r="B25" s="5" t="inlineStr">
        <is>
          <t>The judgement layer: base rates per route group with written rationale, the business-intensity time multipliers used in the baseline, and supporting notes covering the validation outcome, dataset coverage gaps (South America/Africa), the hypothetical Tier 1 caveat, load-factor treatment, what the model deliberately excludes, and conservatism.</t>
        </is>
      </c>
    </row>
    <row r="26" ht="53" customHeight="1">
      <c r="A26" s="4" t="inlineStr">
        <is>
          <t>Worked Example</t>
        </is>
      </c>
      <c r="B26" s="5" t="inlineStr">
        <is>
          <t>An illustrative 14-flight day (hand-built, includes South America and evening long-haul) demonstrating the classify -&gt; look up -&gt; multiply workflow with live SUMIFS formulas against the baseline table. Companion to Schedule Sample, which does the same thing with real schedule data.</t>
        </is>
      </c>
    </row>
    <row r="27" ht="53" customHeight="1">
      <c r="A27" s="4" t="inlineStr">
        <is>
          <t>Justification</t>
        </is>
      </c>
      <c r="B27" s="5" t="inlineStr">
        <is>
          <t>The written defence of the result in 7 sections: objective, why these groupings, how the rates were derived and recalibrated, the representative sample, defensibility of the numbers, how to reuse the table with future schedules, and limitations with next steps.</t>
        </is>
      </c>
    </row>
  </sheetData>
  <mergeCells count="3">
    <mergeCell ref="A1:D1"/>
    <mergeCell ref="A2:D2"/>
    <mergeCell ref="A17:B1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0"/>
  <sheetViews>
    <sheetView workbookViewId="0">
      <pane ySplit="4" topLeftCell="A5" activePane="bottomLeft" state="frozen"/>
      <selection pane="bottomLeft" activeCell="A1" sqref="A1"/>
    </sheetView>
  </sheetViews>
  <sheetFormatPr baseColWidth="8" defaultRowHeight="15"/>
  <cols>
    <col width="24" customWidth="1" min="1" max="1"/>
    <col width="34" customWidth="1" min="2" max="2"/>
    <col width="95" customWidth="1" min="3" max="3"/>
  </cols>
  <sheetData>
    <row r="1">
      <c r="A1" s="1" t="inlineStr">
        <is>
          <t>Dictionary of Abbreviations &amp; Terms</t>
        </is>
      </c>
    </row>
    <row r="2">
      <c r="A2" s="2" t="inlineStr">
        <is>
          <t>Terminology used throughout this workbook and the defence slide</t>
        </is>
      </c>
    </row>
    <row r="4">
      <c r="A4" s="3" t="inlineStr">
        <is>
          <t>Term / Abbreviation</t>
        </is>
      </c>
      <c r="B4" s="3" t="inlineStr">
        <is>
          <t>Full form</t>
        </is>
      </c>
      <c r="C4" s="3" t="inlineStr">
        <is>
          <t>Meaning in this model</t>
        </is>
      </c>
    </row>
    <row r="5" ht="30" customHeight="1">
      <c r="A5" s="4" t="inlineStr">
        <is>
          <t>STD</t>
        </is>
      </c>
      <c r="B5" s="5" t="inlineStr">
        <is>
          <t>Scheduled Time of Departure</t>
        </is>
      </c>
      <c r="C5" s="5" t="inlineStr">
        <is>
          <t>The flight's scheduled departure time (local, 24h clock). Used to assign a flight to a time band: 05:00-09:59, 10:00-15:59 or 16:00-22:59.</t>
        </is>
      </c>
    </row>
    <row r="6" ht="30" customHeight="1">
      <c r="A6" s="4" t="inlineStr">
        <is>
          <t>Pax</t>
        </is>
      </c>
      <c r="B6" s="5" t="inlineStr">
        <is>
          <t>Passengers</t>
        </is>
      </c>
      <c r="C6" s="5" t="inlineStr">
        <is>
          <t>Expected number of boarded passengers on a flight. The count the eligibility percentages are applied to.</t>
        </is>
      </c>
    </row>
    <row r="7" ht="30" customHeight="1">
      <c r="A7" s="4" t="inlineStr">
        <is>
          <t>EL / Eligible</t>
        </is>
      </c>
      <c r="B7" s="5" t="inlineStr">
        <is>
          <t>Lounge eligibility</t>
        </is>
      </c>
      <c r="C7" s="5" t="inlineStr">
        <is>
          <t>A passenger who meets an access rule (premium cabin or BA status/card) and may therefore enter a lounge.</t>
        </is>
      </c>
    </row>
    <row r="8" ht="30" customHeight="1">
      <c r="A8" s="4" t="inlineStr">
        <is>
          <t>Tier 1</t>
        </is>
      </c>
      <c r="B8" s="5" t="inlineStr">
        <is>
          <t>Concorde Room tier</t>
        </is>
      </c>
      <c r="C8" s="5" t="inlineStr">
        <is>
          <t>Highest lounge tier: First Class customers, BA premier cardholders, BA Gold Guest List members.</t>
        </is>
      </c>
    </row>
    <row r="9" ht="30" customHeight="1">
      <c r="A9" s="4" t="inlineStr">
        <is>
          <t>Tier 2</t>
        </is>
      </c>
      <c r="B9" s="5" t="inlineStr">
        <is>
          <t>First Lounge tier</t>
        </is>
      </c>
      <c r="C9" s="5" t="inlineStr">
        <is>
          <t>Middle lounge tier: BA Gold members.</t>
        </is>
      </c>
    </row>
    <row r="10" ht="30" customHeight="1">
      <c r="A10" s="4" t="inlineStr">
        <is>
          <t>Tier 3</t>
        </is>
      </c>
      <c r="B10" s="5" t="inlineStr">
        <is>
          <t>Club Lounge tier</t>
        </is>
      </c>
      <c r="C10" s="5" t="inlineStr">
        <is>
          <t>Base lounge tier: Club World / Club Europe (business class) customers and BA Silver cardholders.</t>
        </is>
      </c>
    </row>
    <row r="11" ht="30" customHeight="1">
      <c r="A11" s="4" t="inlineStr">
        <is>
          <t>BA</t>
        </is>
      </c>
      <c r="B11" s="5" t="inlineStr">
        <is>
          <t>British Airways</t>
        </is>
      </c>
      <c r="C11" s="5" t="inlineStr">
        <is>
          <t>The airline whose lounges at Heathrow Terminal 3 are being modelled.</t>
        </is>
      </c>
    </row>
    <row r="12" ht="30" customHeight="1">
      <c r="A12" s="4" t="inlineStr">
        <is>
          <t>LHR</t>
        </is>
      </c>
      <c r="B12" s="5" t="inlineStr">
        <is>
          <t>London Heathrow</t>
        </is>
      </c>
      <c r="C12" s="5" t="inlineStr">
        <is>
          <t>Airport code for BA's main hub; lounges in this model sit in Terminal 3.</t>
        </is>
      </c>
    </row>
    <row r="13" ht="30" customHeight="1">
      <c r="A13" s="4" t="inlineStr">
        <is>
          <t>T3</t>
        </is>
      </c>
      <c r="B13" s="5" t="inlineStr">
        <is>
          <t>Terminal 3</t>
        </is>
      </c>
      <c r="C13" s="5" t="inlineStr">
        <is>
          <t>Heathrow Terminal 3 - the terminal this lounge demand model applies to.</t>
        </is>
      </c>
    </row>
    <row r="14" ht="30" customHeight="1">
      <c r="A14" s="4" t="inlineStr">
        <is>
          <t>GGL</t>
        </is>
      </c>
      <c r="B14" s="5" t="inlineStr">
        <is>
          <t>BA Gold Guest List</t>
        </is>
      </c>
      <c r="C14" s="5" t="inlineStr">
        <is>
          <t>BA's invitation-only top status tier; Concorde Room access alongside premier cardholders.</t>
        </is>
      </c>
    </row>
    <row r="15" ht="30" customHeight="1">
      <c r="A15" s="4" t="inlineStr">
        <is>
          <t>Premier cardholder</t>
        </is>
      </c>
      <c r="B15" s="5" t="inlineStr">
        <is>
          <t>BA premier credit card holder</t>
        </is>
      </c>
      <c r="C15" s="5" t="inlineStr">
        <is>
          <t>Co-brand/premium cardholders granted lounge access under BA's card partnership rules (Tier 1).</t>
        </is>
      </c>
    </row>
    <row r="16" ht="30" customHeight="1">
      <c r="A16" s="4" t="inlineStr">
        <is>
          <t>Gold / Silver</t>
        </is>
      </c>
      <c r="B16" s="5" t="inlineStr">
        <is>
          <t>BA Executive Club status</t>
        </is>
      </c>
      <c r="C16" s="5" t="inlineStr">
        <is>
          <t>Loyalty status tiers: Gold = Tier 2 access; Silver = Tier 3 access. Earned through qualifying flights.</t>
        </is>
      </c>
    </row>
    <row r="17" ht="30" customHeight="1">
      <c r="A17" s="4" t="inlineStr">
        <is>
          <t>Club World</t>
        </is>
      </c>
      <c r="B17" s="5" t="inlineStr">
        <is>
          <t>Business class (long-haul)</t>
        </is>
      </c>
      <c r="C17" s="5" t="inlineStr">
        <is>
          <t>BA's long-haul business class cabin; earns Tier 3 access.</t>
        </is>
      </c>
    </row>
    <row r="18" ht="30" customHeight="1">
      <c r="A18" s="4" t="inlineStr">
        <is>
          <t>Club Europe</t>
        </is>
      </c>
      <c r="B18" s="5" t="inlineStr">
        <is>
          <t>Business class (short-haul)</t>
        </is>
      </c>
      <c r="C18" s="5" t="inlineStr">
        <is>
          <t>BA's short-haul business class cabin (no First cabin on short-haul); earns Tier 3 access.</t>
        </is>
      </c>
    </row>
    <row r="19" ht="30" customHeight="1">
      <c r="A19" s="4" t="inlineStr">
        <is>
          <t>First</t>
        </is>
      </c>
      <c r="B19" s="5" t="inlineStr">
        <is>
          <t>First class</t>
        </is>
      </c>
      <c r="C19" s="5" t="inlineStr">
        <is>
          <t>BA's highest cabin, sold on long-haul only; earns Tier 1 access.</t>
        </is>
      </c>
    </row>
    <row r="20" ht="30" customHeight="1">
      <c r="A20" s="4" t="inlineStr">
        <is>
          <t>Route group</t>
        </is>
      </c>
      <c r="B20" s="5" t="inlineStr">
        <is>
          <t>Modeling dimension</t>
        </is>
      </c>
      <c r="C20" s="5" t="inlineStr">
        <is>
          <t>The 5 destination buckets used to group flights: Europe &amp; Domestic, North America, Asia &amp; Oceania, Middle East &amp; Africa, South America.</t>
        </is>
      </c>
    </row>
    <row r="21" ht="30" customHeight="1">
      <c r="A21" s="4" t="inlineStr">
        <is>
          <t>Time band</t>
        </is>
      </c>
      <c r="B21" s="5" t="inlineStr">
        <is>
          <t>Modeling dimension</t>
        </is>
      </c>
      <c r="C21" s="5" t="inlineStr">
        <is>
          <t>The 3 departure windows used to group flights: Early morning, Midday, Evening (see STD).</t>
        </is>
      </c>
    </row>
    <row r="22" ht="30" customHeight="1">
      <c r="A22" s="4" t="inlineStr">
        <is>
          <t>Short-haul / Long-haul</t>
        </is>
      </c>
      <c r="B22" s="5" t="inlineStr">
        <is>
          <t>Route type</t>
        </is>
      </c>
      <c r="C22" s="5" t="inlineStr">
        <is>
          <t>Short-haul = Europe &amp; Domestic (single-aisle, Club Europe only); Long-haul = all other regions (widebody, First/Club World).</t>
        </is>
      </c>
    </row>
    <row r="23" ht="30" customHeight="1">
      <c r="A23" s="4" t="inlineStr">
        <is>
          <t>Base rate</t>
        </is>
      </c>
      <c r="B23" s="5" t="inlineStr">
        <is>
          <t>Assumption input</t>
        </is>
      </c>
      <c r="C23" s="5" t="inlineStr">
        <is>
          <t>Tier eligibility % at neutral business intensity (multiplier 1.00) - see Assumptions sheet.</t>
        </is>
      </c>
    </row>
    <row r="24" ht="58" customHeight="1">
      <c r="A24" s="4" t="inlineStr">
        <is>
          <t>Business intensity multiplier</t>
        </is>
      </c>
      <c r="B24" s="5" t="inlineStr">
        <is>
          <t>Time-of-day business intensity index (time multiplier)</t>
        </is>
      </c>
      <c r="C24" s="5" t="inlineStr">
        <is>
          <t>A factor applied to a base rate to reflect how business-heavy a time band is, e.g. 1.30 early morning / 0.75 midday / 1.10 evening. 1.00 = neutral. Used in the assumption baseline; the schedule data showed at most 1.1pp within-group band spread, so the Recommended Lookup uses verified band rates (multipliers ~1.00).</t>
        </is>
      </c>
    </row>
    <row r="25" ht="30" customHeight="1">
      <c r="A25" s="4" t="inlineStr">
        <is>
          <t>Boarded passengers</t>
        </is>
      </c>
      <c r="B25" s="5" t="inlineStr">
        <is>
          <t>Demand denominator</t>
        </is>
      </c>
      <c r="C25" s="5" t="inlineStr">
        <is>
          <t>Passengers actually flying the route. All percentages are expressed as a share of this count, so load factor is already embedded.</t>
        </is>
      </c>
    </row>
    <row r="26" ht="58" customHeight="1">
      <c r="A26" s="4" t="inlineStr">
        <is>
          <t>Load factor</t>
        </is>
      </c>
      <c r="B26" s="5" t="inlineStr">
        <is>
          <t>Capacity measure</t>
        </is>
      </c>
      <c r="C26" s="5" t="inlineStr">
        <is>
          <t>Share of seats sold. Not a model input for forecasting - it is captured by using boarded passengers rather than seats. When verifying against the schedule dataset (which lists seats, not pax), 85% load factor is assumed to convert seats to boarded passengers.</t>
        </is>
      </c>
    </row>
    <row r="27" ht="30" customHeight="1">
      <c r="A27" s="4" t="inlineStr">
        <is>
          <t>Net rate</t>
        </is>
      </c>
      <c r="B27" s="5" t="inlineStr">
        <is>
          <t>De-duplicated percentage</t>
        </is>
      </c>
      <c r="C27" s="5" t="inlineStr">
        <is>
          <t>A passenger is counted only once, at the highest tier they qualify for; tier percentages therefore sum to total eligible share.</t>
        </is>
      </c>
    </row>
    <row r="28" ht="30" customHeight="1">
      <c r="A28" s="4" t="inlineStr">
        <is>
          <t>SUMIFS</t>
        </is>
      </c>
      <c r="B28" s="5" t="inlineStr">
        <is>
          <t>Excel function</t>
        </is>
      </c>
      <c r="C28" s="5" t="inlineStr">
        <is>
          <t>Lookup formula used in the Worked Example to pull the right Tier % from the Lookup Table by route group and time band.</t>
        </is>
      </c>
    </row>
    <row r="29" ht="30" customHeight="1">
      <c r="A29" s="4" t="inlineStr">
        <is>
          <t>EL%</t>
        </is>
      </c>
      <c r="B29" s="5" t="inlineStr">
        <is>
          <t>Eligibility percentage</t>
        </is>
      </c>
      <c r="C29" s="5" t="inlineStr">
        <is>
          <t>The lookup value: share of a flight's boarded passengers expected to be eligible for a given tier.</t>
        </is>
      </c>
    </row>
    <row r="30" ht="58" customHeight="1">
      <c r="A30" s="4" t="inlineStr">
        <is>
          <t>pp</t>
        </is>
      </c>
      <c r="B30" s="5" t="inlineStr">
        <is>
          <t>Percentage points</t>
        </is>
      </c>
      <c r="C30" s="5" t="inlineStr">
        <is>
          <t>The absolute difference between two percentages (not a relative change). Example: baseline total 21.2% vs recommended 25.1% = +3.9pp. Used whenever two rates are compared, e.g. the 'variance vs baseline' column on Recommended Lookup and time-band spreads (max 1.1pp).</t>
        </is>
      </c>
    </row>
    <row r="31" ht="58" customHeight="1">
      <c r="A31" s="4" t="inlineStr">
        <is>
          <t>Tier 1 - Concorde Room %</t>
        </is>
      </c>
      <c r="B31" s="5" t="inlineStr">
        <is>
          <t>Recommended Lookup column</t>
        </is>
      </c>
      <c r="C31" s="5" t="inlineStr">
        <is>
          <t>Share of a flight's boarded passengers eligible for the top tier (First Class, premier cardholders, Gold Guest List) in that route group x time band cell. Models demand for a hypothetical Tier 1/Concorde-style space at T3 - e.g. 0.4% for Europe = 4 passengers per 1,000.</t>
        </is>
      </c>
    </row>
    <row r="32" ht="30" customHeight="1">
      <c r="A32" s="4" t="inlineStr">
        <is>
          <t>Tier 2 - First Lounge %</t>
        </is>
      </c>
      <c r="B32" s="5" t="inlineStr">
        <is>
          <t>Recommended Lookup column</t>
        </is>
      </c>
      <c r="C32" s="5" t="inlineStr">
        <is>
          <t>Share of boarded passengers eligible for the First Lounge (BA Gold members only) in that cell - e.g. 5.1% for Europe = 51 per 1,000.</t>
        </is>
      </c>
    </row>
    <row r="33" ht="44" customHeight="1">
      <c r="A33" s="4" t="inlineStr">
        <is>
          <t>Tier 3 - Club Lounge %</t>
        </is>
      </c>
      <c r="B33" s="5" t="inlineStr">
        <is>
          <t>Recommended Lookup column</t>
        </is>
      </c>
      <c r="C33" s="5" t="inlineStr">
        <is>
          <t>Share of boarded passengers eligible for the Club Lounge (Club Europe/Club World plus BA Silver) in that cell - always the largest tier (e.g. 19.9% for Europe).</t>
        </is>
      </c>
    </row>
    <row r="34" ht="44" customHeight="1">
      <c r="A34" s="4" t="inlineStr">
        <is>
          <t>Total Eligible %</t>
        </is>
      </c>
      <c r="B34" s="5" t="inlineStr">
        <is>
          <t>Recommended Lookup column</t>
        </is>
      </c>
      <c r="C34" s="5" t="inlineStr">
        <is>
          <t>Sum of the three tier percentages = share of passengers who can enter at least one BA lounge (approx. 25% Europe, 15-16% long-haul). Used for total lounge demand; per-tier columns size each lounge.</t>
        </is>
      </c>
    </row>
    <row r="35" ht="44" customHeight="1">
      <c r="A35" s="4" t="inlineStr">
        <is>
          <t>Baseline Tier 1/2/3 %</t>
        </is>
      </c>
      <c r="B35" s="5" t="inlineStr">
        <is>
          <t>Recommended Lookup columns</t>
        </is>
      </c>
      <c r="C35" s="5" t="inlineStr">
        <is>
          <t>The original judgement-based assumption rates for the same cell, retained for audit - they show what was believed before validation against the schedule dataset (see also 'Baseline rate').</t>
        </is>
      </c>
    </row>
    <row r="36" ht="58" customHeight="1">
      <c r="A36" s="4" t="inlineStr">
        <is>
          <t>Total variance vs baseline</t>
        </is>
      </c>
      <c r="B36" s="5" t="inlineStr">
        <is>
          <t>Recommended Lookup column</t>
        </is>
      </c>
      <c r="C36" s="5" t="inlineStr">
        <is>
          <t>Recommended Total Eligible % minus Baseline Total Eligible %, expressed in pp (percentage points). Negative = the data-calibrated rate came in below the original assumption (e.g. North America -18.3pp: the baseline over-weighted long-haul premium).</t>
        </is>
      </c>
    </row>
    <row r="37" ht="44" customHeight="1">
      <c r="A37" s="4" t="inlineStr">
        <is>
          <t>Flights in dataset</t>
        </is>
      </c>
      <c r="B37" s="5" t="inlineStr">
        <is>
          <t>Recommended Lookup column</t>
        </is>
      </c>
      <c r="C37" s="5" t="inlineStr">
        <is>
          <t>How many actual summer-schedule flights stand behind each verified cell (range 153-2,491). A value of 0 means the region is absent from the dataset and the rate is judgement-based (South America).</t>
        </is>
      </c>
    </row>
    <row r="38" ht="44" customHeight="1">
      <c r="A38" s="4" t="inlineStr">
        <is>
          <t>Baseline rate</t>
        </is>
      </c>
      <c r="B38" s="5" t="inlineStr">
        <is>
          <t>Assumption model rate</t>
        </is>
      </c>
      <c r="C38" s="5" t="inlineStr">
        <is>
          <t>Original judgement-based percentage on the 'Lookup Table' sheet, set before schedule data was reviewed; retained for transparency and comparison.</t>
        </is>
      </c>
    </row>
    <row r="39" ht="44" customHeight="1">
      <c r="A39" s="4" t="inlineStr">
        <is>
          <t>Verified rate</t>
        </is>
      </c>
      <c r="B39" s="5" t="inlineStr">
        <is>
          <t>Data-calibrated rate</t>
        </is>
      </c>
      <c r="C39" s="5" t="inlineStr">
        <is>
          <t>Category percentage computed from the BA Summer Schedule dataset: sum of TIER*_ELIGIBLE_PAX divided by (seats x 85% load factor), aggregated by route group and time band.</t>
        </is>
      </c>
    </row>
    <row r="40" ht="44" customHeight="1">
      <c r="A40" s="4" t="inlineStr">
        <is>
          <t>Recommended rate</t>
        </is>
      </c>
      <c r="B40" s="5" t="inlineStr">
        <is>
          <t>Forward-use rate</t>
        </is>
      </c>
      <c r="C40" s="5" t="inlineStr">
        <is>
          <t>What planners should apply: the verified rate where the dataset covers the category; a judgement rate re-based on verified long-haul patterns for South America (absent from the dataset).</t>
        </is>
      </c>
    </row>
    <row r="41" ht="30" customHeight="1">
      <c r="A41" s="4" t="inlineStr">
        <is>
          <t>Representative sample</t>
        </is>
      </c>
      <c r="B41" s="5" t="inlineStr">
        <is>
          <t>Sample schedule day</t>
        </is>
      </c>
      <c r="C41" s="5" t="inlineStr">
        <is>
          <t>18 June 2025 - a full LHR operating day used to test the groupings: 44 flights, all 4 schedule regions, all 3 time bands.</t>
        </is>
      </c>
    </row>
    <row r="42" ht="44" customHeight="1">
      <c r="A42" s="4" t="inlineStr">
        <is>
          <t>Variance</t>
        </is>
      </c>
      <c r="B42" s="5" t="inlineStr">
        <is>
          <t>Model vs actual difference</t>
        </is>
      </c>
      <c r="C42" s="5" t="inlineStr">
        <is>
          <t>Modelled eligible passengers minus the schedule dataset's actual eligible counts, shown on the Schedule Sample sheet; e.g. recommended rates +10% vs baseline assumptions +46% on the sample day.</t>
        </is>
      </c>
    </row>
    <row r="43" ht="44" customHeight="1">
      <c r="A43" s="4" t="inlineStr">
        <is>
          <t>LHR summer schedule</t>
        </is>
      </c>
      <c r="B43" s="5" t="inlineStr">
        <is>
          <t>BA Summer Schedule Dataset</t>
        </is>
      </c>
      <c r="C43" s="5" t="inlineStr">
        <is>
          <t>Forage-provided dataset: 10,000 BA flights departing LHR, 1 Apr - 30 Oct 2025, with route, haul, aircraft, seats and per-tier eligible passenger counts.</t>
        </is>
      </c>
    </row>
    <row r="44" ht="30" customHeight="1">
      <c r="A44" s="4" t="inlineStr">
        <is>
          <t>FLIGHT_DATE / FLIGHT_TIME</t>
        </is>
      </c>
      <c r="B44" s="5" t="inlineStr">
        <is>
          <t>Dataset columns</t>
        </is>
      </c>
      <c r="C44" s="5" t="inlineStr">
        <is>
          <t>Departure date and scheduled clock time; FLIGHT_TIME hour is used to assign the time band.</t>
        </is>
      </c>
    </row>
    <row r="45" ht="44" customHeight="1">
      <c r="A45" s="4" t="inlineStr">
        <is>
          <t>TIME_OF_DAY</t>
        </is>
      </c>
      <c r="B45" s="5" t="inlineStr">
        <is>
          <t>Dataset column (4 values)</t>
        </is>
      </c>
      <c r="C45" s="5" t="inlineStr">
        <is>
          <t>Morning 06-11, Lunchtime 12-13, Afternoon 14-17, Evening 18-22. Mapped to this model's 3 bands by clock time (06-09 early, 10-15 midday, 16-22 evening).</t>
        </is>
      </c>
    </row>
    <row r="46" ht="44" customHeight="1">
      <c r="A46" s="4" t="inlineStr">
        <is>
          <t>ARRIVAL_REGION / ARRIVAL_COUNTRY</t>
        </is>
      </c>
      <c r="B46" s="5" t="inlineStr">
        <is>
          <t>Dataset columns</t>
        </is>
      </c>
      <c r="C46" s="5" t="inlineStr">
        <is>
          <t>Destination region (Europe, North America, Asia, Middle East) and country; ARRIVAL_REGION maps to this model's Route Group via ARRIVAL_STATION_CD for display.</t>
        </is>
      </c>
    </row>
    <row r="47" ht="30" customHeight="1">
      <c r="A47" s="4" t="inlineStr">
        <is>
          <t>HAUL</t>
        </is>
      </c>
      <c r="B47" s="5" t="inlineStr">
        <is>
          <t>Dataset column</t>
        </is>
      </c>
      <c r="C47" s="5" t="inlineStr">
        <is>
          <t>SHORT or LONG - short-haul equals the Europe region in this dataset (Club Europe configuration).</t>
        </is>
      </c>
    </row>
    <row r="48" ht="30" customHeight="1">
      <c r="A48" s="4" t="inlineStr">
        <is>
          <t>AIRCRAFT_TYPE</t>
        </is>
      </c>
      <c r="B48" s="5" t="inlineStr">
        <is>
          <t>Dataset column</t>
        </is>
      </c>
      <c r="C48" s="5" t="inlineStr">
        <is>
          <t>A320 / A350 / A380 / B777 / B787 - deliberately NOT used as a grouping, so the lookup stays valid under fleet changes.</t>
        </is>
      </c>
    </row>
    <row r="49" ht="30" customHeight="1">
      <c r="A49" s="4" t="inlineStr">
        <is>
          <t>FIRST/BUSINESS/ECONOMY_SEATS</t>
        </is>
      </c>
      <c r="B49" s="5" t="inlineStr">
        <is>
          <t>Dataset columns</t>
        </is>
      </c>
      <c r="C49" s="5" t="inlineStr">
        <is>
          <t>Seat counts by cabin; summed to total seats, then converted to passengers at the assumed 85% load factor.</t>
        </is>
      </c>
    </row>
    <row r="50" ht="30" customHeight="1">
      <c r="A50" s="4" t="inlineStr">
        <is>
          <t>TIER1/2/3_ELIGIBLE_PAX</t>
        </is>
      </c>
      <c r="B50" s="5" t="inlineStr">
        <is>
          <t>Dataset columns</t>
        </is>
      </c>
      <c r="C50" s="5" t="inlineStr">
        <is>
          <t>Actual passengers eligible for each lounge tier per flight - used as the benchmark to verify and recalibrate the model's percentages.</t>
        </is>
      </c>
    </row>
  </sheetData>
  <mergeCells count="2">
    <mergeCell ref="A1:C1"/>
    <mergeCell ref="A2:C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5"/>
  <sheetViews>
    <sheetView workbookViewId="0">
      <pane ySplit="4" topLeftCell="A5" activePane="bottomLeft" state="frozen"/>
      <selection pane="bottomLeft" activeCell="A1" sqref="A1"/>
    </sheetView>
  </sheetViews>
  <sheetFormatPr baseColWidth="8" defaultRowHeight="15"/>
  <cols>
    <col width="7" customWidth="1" min="1" max="1"/>
    <col width="52" customWidth="1" min="2" max="2"/>
    <col width="90" customWidth="1" min="3" max="3"/>
  </cols>
  <sheetData>
    <row r="1">
      <c r="A1" s="1" t="inlineStr">
        <is>
          <t>Data Preparation - From Source Schedule to Lookup Categories</t>
        </is>
      </c>
    </row>
    <row r="2">
      <c r="A2" s="2" t="inlineStr">
        <is>
          <t>Every transformation applied to the Forage 'British Airways Summer Schedule Dataset' (10,000 rows) before the lookup percentages could be applied</t>
        </is>
      </c>
    </row>
    <row r="4">
      <c r="A4" s="3" t="inlineStr">
        <is>
          <t>Step</t>
        </is>
      </c>
      <c r="B4" s="3" t="inlineStr">
        <is>
          <t>What was done</t>
        </is>
      </c>
      <c r="C4" s="3" t="inlineStr">
        <is>
          <t>Rule / reason</t>
        </is>
      </c>
    </row>
    <row r="5" ht="60" customHeight="1">
      <c r="A5" s="4" t="inlineStr">
        <is>
          <t>1. Load source dataset</t>
        </is>
      </c>
      <c r="B5" s="5" t="inlineStr">
        <is>
          <t>Read the file 'British Airways Summer Schedule Dataset - Forage Data Science Task 1.xlsx' (sheet: british_airways_schedule_summer): 10,000 rows x 17 columns - BA flights departing LHR, 1 Apr - 30 Oct 2025, 210 dates.</t>
        </is>
      </c>
      <c r="C5" s="5" t="inlineStr">
        <is>
          <t>Source for both the category rates and the per-flight benchmark (TIER1/2/3_ELIGIBLE_PAX).</t>
        </is>
      </c>
    </row>
    <row r="6" ht="46" customHeight="1">
      <c r="A6" s="4" t="inlineStr">
        <is>
          <t>2. Assign Time Band from clock time</t>
        </is>
      </c>
      <c r="B6" s="5" t="inlineStr">
        <is>
          <t>Parsed FLIGHT_TIME to an hour, then banded it into the model's 3 windows: 05:00-09:59 = Early morning, 10:00-15:59 = Midday, 16:00-22:59 = Evening.</t>
        </is>
      </c>
      <c r="C6" s="5" t="inlineStr">
        <is>
          <t>The lookup's time dimension is defined by scheduled departure hour, so the same rule works on any future schedule. (Dataset hours run 06:00-22:59.)</t>
        </is>
      </c>
    </row>
    <row r="7" ht="75" customHeight="1">
      <c r="A7" s="4" t="inlineStr">
        <is>
          <t>3. Map the dataset's 4 TIME_OF_DAY values</t>
        </is>
      </c>
      <c r="B7" s="5" t="inlineStr">
        <is>
          <t>Cross-checked the source label against the clock: Morning 06-11 -&gt; Early morning for hours 06-09 and Midday for 10-11 | Lunchtime 12-13 -&gt; Midday | Afternoon 14-17 -&gt; Midday for 14-15 and Evening for 16-17 | Evening 18-22 -&gt; Evening.</t>
        </is>
      </c>
      <c r="C7" s="5" t="inlineStr">
        <is>
          <t>The source has 4 day parts, the model uses 3 bands - mapping by hour resolves the overlaps (Morning/Afternoon straddle band edges). Band is always taken from FLIGHT_TIME; TIME_OF_DAY is only a consistency check.</t>
        </is>
      </c>
    </row>
    <row r="8" ht="46" customHeight="1">
      <c r="A8" s="4" t="inlineStr">
        <is>
          <t>4. Map ARRIVAL_REGION to Route Group</t>
        </is>
      </c>
      <c r="B8" s="5" t="inlineStr">
        <is>
          <t>Europe -&gt; Europe &amp; Domestic | North America -&gt; North America | Asia -&gt; Asia &amp; Oceania | Middle East -&gt; Middle East &amp; Africa.</t>
        </is>
      </c>
      <c r="C8" s="5" t="inlineStr">
        <is>
          <t>The lookup's 5 route groups come from the model, not the file: region names differ and South America/Africa are absent from this schedule, so those cells stay as judgement rates (flagged on Recommended Lookup).</t>
        </is>
      </c>
    </row>
    <row r="9" ht="46" customHeight="1">
      <c r="A9" s="4" t="inlineStr">
        <is>
          <t>5. Confirm Route Type from HAUL</t>
        </is>
      </c>
      <c r="B9" s="5" t="inlineStr">
        <is>
          <t>SHORT -&gt; Short-haul, LONG -&gt; Long-haul; verified this agrees with route group (Europe = SHORT, all others = LONG).</t>
        </is>
      </c>
      <c r="C9" s="5" t="inlineStr">
        <is>
          <t>Keeps the 'Route Type' column of the lookup populated. AIRCRAFT_TYPE (A320/A350/A380/B777/B787) was deliberately NOT used, so the table stays valid when the fleet plan changes.</t>
        </is>
      </c>
    </row>
    <row r="10" ht="46" customHeight="1">
      <c r="A10" s="4" t="inlineStr">
        <is>
          <t>6. Convert seats to passengers</t>
        </is>
      </c>
      <c r="B10" s="5" t="inlineStr">
        <is>
          <t>Pax = (FIRST_CLASS_SEATS + BUSINESS_CLASS_SEATS + ECONOMY_SEATS) x 85% load factor, rounded per flight.</t>
        </is>
      </c>
      <c r="C10" s="5" t="inlineStr">
        <is>
          <t>The dataset lists seats, not passengers, but the lookup percentages are per boarded passenger; 85% is the stated load-factor assumption for verification.</t>
        </is>
      </c>
    </row>
    <row r="11" ht="60" customHeight="1">
      <c r="A11" s="4" t="inlineStr">
        <is>
          <t>7. Calculate verified rates per cell</t>
        </is>
      </c>
      <c r="B11" s="5" t="inlineStr">
        <is>
          <t>For each of the 15 Route Group x Time Band cells: verified % = sum of TIER1/2/3_ELIGIBLE_PAX / (seats x 85%) x 100, rounded to 0.1pp (each cell rests on 153-2,491 flights).</t>
        </is>
      </c>
      <c r="C11" s="5" t="inlineStr">
        <is>
          <t>These are the 'verified' columns on Recommended Lookup; South America uses judgement rates re-based on the verified long-haul pattern because it has no flights in the source.</t>
        </is>
      </c>
    </row>
    <row r="12" ht="60" customHeight="1">
      <c r="A12" s="4" t="inlineStr">
        <is>
          <t>8. Select the representative sample</t>
        </is>
      </c>
      <c r="B12" s="5" t="inlineStr">
        <is>
          <t>Chose 18 June 2025: a full operating day covering all 4 source regions and all 3 time bands - 44 flights, 10,471 seats, 8,901 passengers (from 194 candidate dates that cover all 4 regions).</t>
        </is>
      </c>
      <c r="C12" s="5" t="inlineStr">
        <is>
          <t>Task guidance: analyse a representative slice, not all 10,000 rows - a complete day tests every grouping dimension at once.</t>
        </is>
      </c>
    </row>
    <row r="13" ht="75" customHeight="1">
      <c r="A13" s="4" t="inlineStr">
        <is>
          <t>9. Apply the lookup to the sample</t>
        </is>
      </c>
      <c r="B13" s="5" t="inlineStr">
        <is>
          <t>On the Schedule Sample sheet each flight is classified (Route Group + Time Band), Tier % is pulled with live SUMIFS against Recommended Lookup, multiplied by Pax and rounded; totals are compared with the dataset's own TIER1/2/3_ELIGIBLE_PAX (variance column).</t>
        </is>
      </c>
      <c r="C13" s="5" t="inlineStr">
        <is>
          <t>Demonstrates the reusable workflow: classify -&gt; look up -&gt; multiply -&gt; compare. Recalibrated result = 1,713 eligible vs 1,557 actual (+10%); baseline assumption model = 2,281 (+46%).</t>
        </is>
      </c>
    </row>
    <row r="14" ht="46" customHeight="1">
      <c r="A14" s="4" t="inlineStr">
        <is>
          <t>10. Recalibrate and retain the baseline</t>
        </is>
      </c>
      <c r="B14" s="5" t="inlineStr">
        <is>
          <t>Verified rates replaced the assumption-based rates on Recommended Lookup; the original judgement table is kept unchanged on the 'Lookup Table' sheet.</t>
        </is>
      </c>
      <c r="C14" s="5" t="inlineStr">
        <is>
          <t>Validation showed the baseline ran +46% vs actual (over-weighting long-haul, under-weighting Europe); keeping both tables makes the correction auditable.</t>
        </is>
      </c>
    </row>
    <row r="15" ht="46" customHeight="1">
      <c r="A15" s="4" t="inlineStr">
        <is>
          <t>11. Refresh procedure</t>
        </is>
      </c>
      <c r="B15" s="5" t="inlineStr">
        <is>
          <t>Re-run steps 1-7 whenever a new schedule extract arrives (or against actual lounge access scans), overwriting only the rate columns.</t>
        </is>
      </c>
      <c r="C15" s="5" t="inlineStr">
        <is>
          <t>Columns, groupings, formulas and sheet structure stay fixed, so results remain comparable between seasons and to lounge-access data.</t>
        </is>
      </c>
    </row>
  </sheetData>
  <mergeCells count="2">
    <mergeCell ref="A1:C1"/>
    <mergeCell ref="A2:C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9"/>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24" customWidth="1" min="1" max="1"/>
    <col width="12" customWidth="1" min="2" max="2"/>
    <col width="15" customWidth="1" min="3" max="3"/>
    <col width="15" customWidth="1" min="4" max="4"/>
    <col width="15" customWidth="1" min="5" max="5"/>
    <col width="15" customWidth="1" min="6" max="6"/>
    <col width="14" customWidth="1" min="7" max="7"/>
    <col width="13" customWidth="1" min="8" max="8"/>
    <col width="13" customWidth="1" min="9" max="9"/>
    <col width="13" customWidth="1" min="10" max="10"/>
    <col width="16" customWidth="1" min="11" max="11"/>
    <col width="13" customWidth="1" min="12" max="12"/>
    <col width="58" customWidth="1" min="13" max="13"/>
  </cols>
  <sheetData>
    <row r="1">
      <c r="A1" s="1" t="inlineStr">
        <is>
          <t>Recommended Lookup Table - Lounge Eligibility by Flight Grouping</t>
        </is>
      </c>
    </row>
    <row r="2">
      <c r="A2" s="2" t="inlineStr">
        <is>
          <t>Data-calibrated on 10,000 BA summer-2025 flights | % of boarded passengers (85% load factor) | tiers mutually exclusive</t>
        </is>
      </c>
    </row>
    <row r="4">
      <c r="A4" s="3" t="inlineStr">
        <is>
          <t>Route Group</t>
        </is>
      </c>
      <c r="B4" s="3" t="inlineStr">
        <is>
          <t>Route Type</t>
        </is>
      </c>
      <c r="C4" s="3" t="inlineStr">
        <is>
          <t>Time Band</t>
        </is>
      </c>
      <c r="D4" s="3" t="inlineStr">
        <is>
          <t>Tier 1 - Concorde Room %</t>
        </is>
      </c>
      <c r="E4" s="3" t="inlineStr">
        <is>
          <t>Tier 2 - First Lounge %</t>
        </is>
      </c>
      <c r="F4" s="3" t="inlineStr">
        <is>
          <t>Tier 3 - Club Lounge %</t>
        </is>
      </c>
      <c r="G4" s="3" t="inlineStr">
        <is>
          <t>Total Eligible %</t>
        </is>
      </c>
      <c r="H4" s="3" t="inlineStr">
        <is>
          <t>Baseline Tier 1 %</t>
        </is>
      </c>
      <c r="I4" s="3" t="inlineStr">
        <is>
          <t>Baseline Tier 2 %</t>
        </is>
      </c>
      <c r="J4" s="3" t="inlineStr">
        <is>
          <t>Baseline Tier 3 %</t>
        </is>
      </c>
      <c r="K4" s="3" t="inlineStr">
        <is>
          <t>Total variance vs baseline</t>
        </is>
      </c>
      <c r="L4" s="3" t="inlineStr">
        <is>
          <t>Flights in dataset</t>
        </is>
      </c>
      <c r="M4" s="3" t="inlineStr">
        <is>
          <t>Basis</t>
        </is>
      </c>
    </row>
    <row r="5" ht="30" customHeight="1">
      <c r="A5" s="7" t="inlineStr">
        <is>
          <t>Europe &amp; Domestic</t>
        </is>
      </c>
      <c r="B5" s="7" t="inlineStr">
        <is>
          <t>Short-haul</t>
        </is>
      </c>
      <c r="C5" s="7" t="inlineStr">
        <is>
          <t>Early morning</t>
        </is>
      </c>
      <c r="D5" s="8" t="n">
        <v>0.004</v>
      </c>
      <c r="E5" s="8" t="n">
        <v>0.051</v>
      </c>
      <c r="F5" s="8" t="n">
        <v>0.196</v>
      </c>
      <c r="G5" s="8" t="n">
        <v>0.251</v>
      </c>
      <c r="H5" s="8" t="n">
        <v>0.003</v>
      </c>
      <c r="I5" s="8" t="n">
        <v>0.014</v>
      </c>
      <c r="J5" s="8" t="n">
        <v>0.195</v>
      </c>
      <c r="K5" s="9" t="n">
        <v>3.9</v>
      </c>
      <c r="L5" s="10" t="n">
        <v>1371</v>
      </c>
      <c r="M5" s="11" t="inlineStr">
        <is>
          <t>Verified: 1,371 flights, Apr-Oct 2025, LHR</t>
        </is>
      </c>
    </row>
    <row r="6" ht="30" customHeight="1">
      <c r="A6" s="12" t="inlineStr">
        <is>
          <t>Europe &amp; Domestic</t>
        </is>
      </c>
      <c r="B6" s="12" t="inlineStr">
        <is>
          <t>Short-haul</t>
        </is>
      </c>
      <c r="C6" s="12" t="inlineStr">
        <is>
          <t>Midday</t>
        </is>
      </c>
      <c r="D6" s="13" t="n">
        <v>0.004</v>
      </c>
      <c r="E6" s="13" t="n">
        <v>0.052</v>
      </c>
      <c r="F6" s="13" t="n">
        <v>0.199</v>
      </c>
      <c r="G6" s="13" t="n">
        <v>0.255</v>
      </c>
      <c r="H6" s="13" t="n">
        <v>0.002</v>
      </c>
      <c r="I6" s="13" t="n">
        <v>0.008</v>
      </c>
      <c r="J6" s="13" t="n">
        <v>0.113</v>
      </c>
      <c r="K6" s="14" t="n">
        <v>13.2</v>
      </c>
      <c r="L6" s="15" t="n">
        <v>2113</v>
      </c>
      <c r="M6" s="16" t="inlineStr">
        <is>
          <t>Verified: 2,113 flights, Apr-Oct 2025, LHR</t>
        </is>
      </c>
    </row>
    <row r="7" ht="30" customHeight="1">
      <c r="A7" s="7" t="inlineStr">
        <is>
          <t>Europe &amp; Domestic</t>
        </is>
      </c>
      <c r="B7" s="7" t="inlineStr">
        <is>
          <t>Short-haul</t>
        </is>
      </c>
      <c r="C7" s="7" t="inlineStr">
        <is>
          <t>Evening</t>
        </is>
      </c>
      <c r="D7" s="8" t="n">
        <v>0.004</v>
      </c>
      <c r="E7" s="8" t="n">
        <v>0.052</v>
      </c>
      <c r="F7" s="8" t="n">
        <v>0.199</v>
      </c>
      <c r="G7" s="8" t="n">
        <v>0.255</v>
      </c>
      <c r="H7" s="8" t="n">
        <v>0.002</v>
      </c>
      <c r="I7" s="8" t="n">
        <v>0.012</v>
      </c>
      <c r="J7" s="8" t="n">
        <v>0.165</v>
      </c>
      <c r="K7" s="9" t="n">
        <v>7.6</v>
      </c>
      <c r="L7" s="10" t="n">
        <v>2491</v>
      </c>
      <c r="M7" s="11" t="inlineStr">
        <is>
          <t>Verified: 2,491 flights, Apr-Oct 2025, LHR</t>
        </is>
      </c>
    </row>
    <row r="8" ht="30" customHeight="1">
      <c r="A8" s="7" t="inlineStr">
        <is>
          <t>North America</t>
        </is>
      </c>
      <c r="B8" s="7" t="inlineStr">
        <is>
          <t>Long-haul</t>
        </is>
      </c>
      <c r="C8" s="7" t="inlineStr">
        <is>
          <t>Early morning</t>
        </is>
      </c>
      <c r="D8" s="8" t="n">
        <v>0.002</v>
      </c>
      <c r="E8" s="8" t="n">
        <v>0.033</v>
      </c>
      <c r="F8" s="8" t="n">
        <v>0.127</v>
      </c>
      <c r="G8" s="8" t="n">
        <v>0.162</v>
      </c>
      <c r="H8" s="8" t="n">
        <v>0.025</v>
      </c>
      <c r="I8" s="8" t="n">
        <v>0.025</v>
      </c>
      <c r="J8" s="8" t="n">
        <v>0.31</v>
      </c>
      <c r="K8" s="9" t="n">
        <v>-19.8</v>
      </c>
      <c r="L8" s="10" t="n">
        <v>648</v>
      </c>
      <c r="M8" s="11" t="inlineStr">
        <is>
          <t>Verified: 648 flights, Apr-Oct 2025, LHR</t>
        </is>
      </c>
    </row>
    <row r="9" ht="30" customHeight="1">
      <c r="A9" s="12" t="inlineStr">
        <is>
          <t>North America</t>
        </is>
      </c>
      <c r="B9" s="12" t="inlineStr">
        <is>
          <t>Long-haul</t>
        </is>
      </c>
      <c r="C9" s="12" t="inlineStr">
        <is>
          <t>Midday</t>
        </is>
      </c>
      <c r="D9" s="13" t="n">
        <v>0.002</v>
      </c>
      <c r="E9" s="13" t="n">
        <v>0.032</v>
      </c>
      <c r="F9" s="13" t="n">
        <v>0.123</v>
      </c>
      <c r="G9" s="13" t="n">
        <v>0.157</v>
      </c>
      <c r="H9" s="13" t="n">
        <v>0.02</v>
      </c>
      <c r="I9" s="13" t="n">
        <v>0.02</v>
      </c>
      <c r="J9" s="13" t="n">
        <v>0.243</v>
      </c>
      <c r="K9" s="14" t="n">
        <v>-12.6</v>
      </c>
      <c r="L9" s="15" t="n">
        <v>918</v>
      </c>
      <c r="M9" s="16" t="inlineStr">
        <is>
          <t>Verified: 918 flights, Apr-Oct 2025, LHR</t>
        </is>
      </c>
    </row>
    <row r="10" ht="30" customHeight="1">
      <c r="A10" s="7" t="inlineStr">
        <is>
          <t>North America</t>
        </is>
      </c>
      <c r="B10" s="7" t="inlineStr">
        <is>
          <t>Long-haul</t>
        </is>
      </c>
      <c r="C10" s="7" t="inlineStr">
        <is>
          <t>Evening</t>
        </is>
      </c>
      <c r="D10" s="8" t="n">
        <v>0.002</v>
      </c>
      <c r="E10" s="8" t="n">
        <v>0.032</v>
      </c>
      <c r="F10" s="8" t="n">
        <v>0.123</v>
      </c>
      <c r="G10" s="8" t="n">
        <v>0.157</v>
      </c>
      <c r="H10" s="8" t="n">
        <v>0.024</v>
      </c>
      <c r="I10" s="8" t="n">
        <v>0.024</v>
      </c>
      <c r="J10" s="8" t="n">
        <v>0.297</v>
      </c>
      <c r="K10" s="9" t="n">
        <v>-18.8</v>
      </c>
      <c r="L10" s="10" t="n">
        <v>1092</v>
      </c>
      <c r="M10" s="11" t="inlineStr">
        <is>
          <t>Verified: 1,092 flights, Apr-Oct 2025, LHR</t>
        </is>
      </c>
    </row>
    <row r="11" ht="30" customHeight="1">
      <c r="A11" s="7" t="inlineStr">
        <is>
          <t>Asia &amp; Oceania</t>
        </is>
      </c>
      <c r="B11" s="7" t="inlineStr">
        <is>
          <t>Long-haul</t>
        </is>
      </c>
      <c r="C11" s="7" t="inlineStr">
        <is>
          <t>Early morning</t>
        </is>
      </c>
      <c r="D11" s="8" t="n">
        <v>0.003</v>
      </c>
      <c r="E11" s="8" t="n">
        <v>0.032</v>
      </c>
      <c r="F11" s="8" t="n">
        <v>0.124</v>
      </c>
      <c r="G11" s="8" t="n">
        <v>0.159</v>
      </c>
      <c r="H11" s="8" t="n">
        <v>0.031</v>
      </c>
      <c r="I11" s="8" t="n">
        <v>0.028</v>
      </c>
      <c r="J11" s="8" t="n">
        <v>0.333</v>
      </c>
      <c r="K11" s="9" t="n">
        <v>-23.3</v>
      </c>
      <c r="L11" s="10" t="n">
        <v>153</v>
      </c>
      <c r="M11" s="11" t="inlineStr">
        <is>
          <t>Verified: 153 flights, Apr-Oct 2025, LHR</t>
        </is>
      </c>
    </row>
    <row r="12" ht="30" customHeight="1">
      <c r="A12" s="12" t="inlineStr">
        <is>
          <t>Asia &amp; Oceania</t>
        </is>
      </c>
      <c r="B12" s="12" t="inlineStr">
        <is>
          <t>Long-haul</t>
        </is>
      </c>
      <c r="C12" s="12" t="inlineStr">
        <is>
          <t>Midday</t>
        </is>
      </c>
      <c r="D12" s="13" t="n">
        <v>0.002</v>
      </c>
      <c r="E12" s="13" t="n">
        <v>0.032</v>
      </c>
      <c r="F12" s="13" t="n">
        <v>0.121</v>
      </c>
      <c r="G12" s="13" t="n">
        <v>0.155</v>
      </c>
      <c r="H12" s="13" t="n">
        <v>0.024</v>
      </c>
      <c r="I12" s="13" t="n">
        <v>0.022</v>
      </c>
      <c r="J12" s="13" t="n">
        <v>0.261</v>
      </c>
      <c r="K12" s="14" t="n">
        <v>-15.2</v>
      </c>
      <c r="L12" s="15" t="n">
        <v>254</v>
      </c>
      <c r="M12" s="16" t="inlineStr">
        <is>
          <t>Verified: 254 flights, Apr-Oct 2025, LHR</t>
        </is>
      </c>
    </row>
    <row r="13" ht="30" customHeight="1">
      <c r="A13" s="7" t="inlineStr">
        <is>
          <t>Asia &amp; Oceania</t>
        </is>
      </c>
      <c r="B13" s="7" t="inlineStr">
        <is>
          <t>Long-haul</t>
        </is>
      </c>
      <c r="C13" s="7" t="inlineStr">
        <is>
          <t>Evening</t>
        </is>
      </c>
      <c r="D13" s="8" t="n">
        <v>0.002</v>
      </c>
      <c r="E13" s="8" t="n">
        <v>0.032</v>
      </c>
      <c r="F13" s="8" t="n">
        <v>0.122</v>
      </c>
      <c r="G13" s="8" t="n">
        <v>0.156</v>
      </c>
      <c r="H13" s="8" t="n">
        <v>0.03</v>
      </c>
      <c r="I13" s="8" t="n">
        <v>0.026</v>
      </c>
      <c r="J13" s="8" t="n">
        <v>0.319</v>
      </c>
      <c r="K13" s="9" t="n">
        <v>-21.9</v>
      </c>
      <c r="L13" s="10" t="n">
        <v>272</v>
      </c>
      <c r="M13" s="11" t="inlineStr">
        <is>
          <t>Verified: 272 flights, Apr-Oct 2025, LHR</t>
        </is>
      </c>
    </row>
    <row r="14" ht="30" customHeight="1">
      <c r="A14" s="7" t="inlineStr">
        <is>
          <t>Middle East &amp; Africa</t>
        </is>
      </c>
      <c r="B14" s="7" t="inlineStr">
        <is>
          <t>Long-haul</t>
        </is>
      </c>
      <c r="C14" s="7" t="inlineStr">
        <is>
          <t>Early morning</t>
        </is>
      </c>
      <c r="D14" s="8" t="n">
        <v>0.002</v>
      </c>
      <c r="E14" s="8" t="n">
        <v>0.033</v>
      </c>
      <c r="F14" s="8" t="n">
        <v>0.125</v>
      </c>
      <c r="G14" s="8" t="n">
        <v>0.16</v>
      </c>
      <c r="H14" s="8" t="n">
        <v>0.02</v>
      </c>
      <c r="I14" s="8" t="n">
        <v>0.021</v>
      </c>
      <c r="J14" s="8" t="n">
        <v>0.259</v>
      </c>
      <c r="K14" s="9" t="n">
        <v>-14</v>
      </c>
      <c r="L14" s="10" t="n">
        <v>189</v>
      </c>
      <c r="M14" s="11" t="inlineStr">
        <is>
          <t>Verified: 189 flights, Apr-Oct 2025, LHR</t>
        </is>
      </c>
    </row>
    <row r="15" ht="30" customHeight="1">
      <c r="A15" s="12" t="inlineStr">
        <is>
          <t>Middle East &amp; Africa</t>
        </is>
      </c>
      <c r="B15" s="12" t="inlineStr">
        <is>
          <t>Long-haul</t>
        </is>
      </c>
      <c r="C15" s="12" t="inlineStr">
        <is>
          <t>Midday</t>
        </is>
      </c>
      <c r="D15" s="13" t="n">
        <v>0.002</v>
      </c>
      <c r="E15" s="13" t="n">
        <v>0.032</v>
      </c>
      <c r="F15" s="13" t="n">
        <v>0.123</v>
      </c>
      <c r="G15" s="13" t="n">
        <v>0.157</v>
      </c>
      <c r="H15" s="13" t="n">
        <v>0.015</v>
      </c>
      <c r="I15" s="13" t="n">
        <v>0.016</v>
      </c>
      <c r="J15" s="13" t="n">
        <v>0.203</v>
      </c>
      <c r="K15" s="14" t="n">
        <v>-7.7</v>
      </c>
      <c r="L15" s="15" t="n">
        <v>210</v>
      </c>
      <c r="M15" s="16" t="inlineStr">
        <is>
          <t>Verified: 210 flights, Apr-Oct 2025, LHR</t>
        </is>
      </c>
    </row>
    <row r="16" ht="30" customHeight="1">
      <c r="A16" s="7" t="inlineStr">
        <is>
          <t>Middle East &amp; Africa</t>
        </is>
      </c>
      <c r="B16" s="7" t="inlineStr">
        <is>
          <t>Long-haul</t>
        </is>
      </c>
      <c r="C16" s="7" t="inlineStr">
        <is>
          <t>Evening</t>
        </is>
      </c>
      <c r="D16" s="8" t="n">
        <v>0.002</v>
      </c>
      <c r="E16" s="8" t="n">
        <v>0.03</v>
      </c>
      <c r="F16" s="8" t="n">
        <v>0.117</v>
      </c>
      <c r="G16" s="8" t="n">
        <v>0.149</v>
      </c>
      <c r="H16" s="8" t="n">
        <v>0.019</v>
      </c>
      <c r="I16" s="8" t="n">
        <v>0.02</v>
      </c>
      <c r="J16" s="8" t="n">
        <v>0.248</v>
      </c>
      <c r="K16" s="9" t="n">
        <v>-13.8</v>
      </c>
      <c r="L16" s="10" t="n">
        <v>289</v>
      </c>
      <c r="M16" s="11" t="inlineStr">
        <is>
          <t>Verified: 289 flights, Apr-Oct 2025, LHR</t>
        </is>
      </c>
    </row>
    <row r="17" ht="30" customHeight="1">
      <c r="A17" s="7" t="inlineStr">
        <is>
          <t>South America</t>
        </is>
      </c>
      <c r="B17" s="7" t="inlineStr">
        <is>
          <t>Long-haul</t>
        </is>
      </c>
      <c r="C17" s="7" t="inlineStr">
        <is>
          <t>Early morning</t>
        </is>
      </c>
      <c r="D17" s="8" t="n">
        <v>0.002</v>
      </c>
      <c r="E17" s="8" t="n">
        <v>0.03</v>
      </c>
      <c r="F17" s="8" t="n">
        <v>0.118</v>
      </c>
      <c r="G17" s="8" t="n">
        <v>0.15</v>
      </c>
      <c r="H17" s="8" t="n">
        <v>0.016</v>
      </c>
      <c r="I17" s="8" t="n">
        <v>0.017</v>
      </c>
      <c r="J17" s="8" t="n">
        <v>0.236</v>
      </c>
      <c r="K17" s="9" t="n">
        <v>-11.9</v>
      </c>
      <c r="L17" s="10" t="n">
        <v>0</v>
      </c>
      <c r="M17" s="11" t="inlineStr">
        <is>
          <t>Judgement re-based on verified long-haul rates (region absent from dataset)</t>
        </is>
      </c>
    </row>
    <row r="18" ht="30" customHeight="1">
      <c r="A18" s="12" t="inlineStr">
        <is>
          <t>South America</t>
        </is>
      </c>
      <c r="B18" s="12" t="inlineStr">
        <is>
          <t>Long-haul</t>
        </is>
      </c>
      <c r="C18" s="12" t="inlineStr">
        <is>
          <t>Midday</t>
        </is>
      </c>
      <c r="D18" s="13" t="n">
        <v>0.002</v>
      </c>
      <c r="E18" s="13" t="n">
        <v>0.029</v>
      </c>
      <c r="F18" s="13" t="n">
        <v>0.113</v>
      </c>
      <c r="G18" s="13" t="n">
        <v>0.144</v>
      </c>
      <c r="H18" s="13" t="n">
        <v>0.013</v>
      </c>
      <c r="I18" s="13" t="n">
        <v>0.014</v>
      </c>
      <c r="J18" s="13" t="n">
        <v>0.185</v>
      </c>
      <c r="K18" s="14" t="n">
        <v>-6.8</v>
      </c>
      <c r="L18" s="15" t="n">
        <v>0</v>
      </c>
      <c r="M18" s="16" t="inlineStr">
        <is>
          <t>Judgement re-based on verified long-haul rates (region absent from dataset)</t>
        </is>
      </c>
    </row>
    <row r="19" ht="30" customHeight="1">
      <c r="A19" s="7" t="inlineStr">
        <is>
          <t>South America</t>
        </is>
      </c>
      <c r="B19" s="7" t="inlineStr">
        <is>
          <t>Long-haul</t>
        </is>
      </c>
      <c r="C19" s="7" t="inlineStr">
        <is>
          <t>Evening</t>
        </is>
      </c>
      <c r="D19" s="8" t="n">
        <v>0.002</v>
      </c>
      <c r="E19" s="8" t="n">
        <v>0.03</v>
      </c>
      <c r="F19" s="8" t="n">
        <v>0.116</v>
      </c>
      <c r="G19" s="8" t="n">
        <v>0.148</v>
      </c>
      <c r="H19" s="8" t="n">
        <v>0.015</v>
      </c>
      <c r="I19" s="8" t="n">
        <v>0.017</v>
      </c>
      <c r="J19" s="8" t="n">
        <v>0.226</v>
      </c>
      <c r="K19" s="9" t="n">
        <v>-11</v>
      </c>
      <c r="L19" s="10" t="n">
        <v>0</v>
      </c>
      <c r="M19" s="11" t="inlineStr">
        <is>
          <t>Judgement re-based on verified long-haul rates (region absent from dataset)</t>
        </is>
      </c>
    </row>
  </sheetData>
  <mergeCells count="2">
    <mergeCell ref="A2:M2"/>
    <mergeCell ref="A1:M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9"/>
  <sheetViews>
    <sheetView workbookViewId="0">
      <pane ySplit="4" topLeftCell="A5" activePane="bottomLeft" state="frozen"/>
      <selection pane="bottomLeft" activeCell="A1" sqref="A1"/>
    </sheetView>
  </sheetViews>
  <sheetFormatPr baseColWidth="8" defaultRowHeight="15"/>
  <cols>
    <col width="24" customWidth="1" min="1" max="1"/>
    <col width="13" customWidth="1" min="2" max="2"/>
    <col width="15" customWidth="1" min="3" max="3"/>
    <col width="17" customWidth="1" min="4" max="4"/>
    <col width="17" customWidth="1" min="5" max="5"/>
    <col width="17" customWidth="1" min="6" max="6"/>
    <col width="17" customWidth="1" min="7" max="7"/>
    <col width="20" customWidth="1" min="8" max="8"/>
  </cols>
  <sheetData>
    <row r="1">
      <c r="A1" s="1" t="inlineStr">
        <is>
          <t>Baseline Lookup Table (assumption model) - kept for transparency</t>
        </is>
      </c>
    </row>
    <row r="2">
      <c r="A2" s="2" t="inlineStr">
        <is>
          <t>Original judgement-based rates before schedule validation; superseded by 'Recommended Lookup' for planning use</t>
        </is>
      </c>
    </row>
    <row r="4">
      <c r="A4" s="3" t="inlineStr">
        <is>
          <t>Route Group</t>
        </is>
      </c>
      <c r="B4" s="3" t="inlineStr">
        <is>
          <t>Route Type</t>
        </is>
      </c>
      <c r="C4" s="3" t="inlineStr">
        <is>
          <t>Time Band</t>
        </is>
      </c>
      <c r="D4" s="3" t="inlineStr">
        <is>
          <t>Tier 1 - Concorde Room %</t>
        </is>
      </c>
      <c r="E4" s="3" t="inlineStr">
        <is>
          <t>Tier 2 - First Lounge %</t>
        </is>
      </c>
      <c r="F4" s="3" t="inlineStr">
        <is>
          <t>Tier 3 - Club Lounge %</t>
        </is>
      </c>
      <c r="G4" s="3" t="inlineStr">
        <is>
          <t>Total Lounge Eligible %</t>
        </is>
      </c>
      <c r="H4" s="3" t="inlineStr">
        <is>
          <t>Time Band Definition</t>
        </is>
      </c>
    </row>
    <row r="5">
      <c r="A5" s="7" t="inlineStr">
        <is>
          <t>Europe &amp; Domestic</t>
        </is>
      </c>
      <c r="B5" s="7" t="inlineStr">
        <is>
          <t>Short-haul</t>
        </is>
      </c>
      <c r="C5" s="7" t="inlineStr">
        <is>
          <t>Early morning</t>
        </is>
      </c>
      <c r="D5" s="8" t="n">
        <v>0.003</v>
      </c>
      <c r="E5" s="8" t="n">
        <v>0.014</v>
      </c>
      <c r="F5" s="8" t="n">
        <v>0.195</v>
      </c>
      <c r="G5" s="8" t="n">
        <v>0.212</v>
      </c>
      <c r="H5" s="17" t="inlineStr">
        <is>
          <t>05:00-09:59 STD</t>
        </is>
      </c>
    </row>
    <row r="6">
      <c r="A6" s="12" t="inlineStr">
        <is>
          <t>Europe &amp; Domestic</t>
        </is>
      </c>
      <c r="B6" s="12" t="inlineStr">
        <is>
          <t>Short-haul</t>
        </is>
      </c>
      <c r="C6" s="12" t="inlineStr">
        <is>
          <t>Midday</t>
        </is>
      </c>
      <c r="D6" s="13" t="n">
        <v>0.002</v>
      </c>
      <c r="E6" s="13" t="n">
        <v>0.008</v>
      </c>
      <c r="F6" s="13" t="n">
        <v>0.113</v>
      </c>
      <c r="G6" s="13" t="n">
        <v>0.123</v>
      </c>
      <c r="H6" s="18" t="inlineStr">
        <is>
          <t>10:00-15:59 STD</t>
        </is>
      </c>
    </row>
    <row r="7">
      <c r="A7" s="7" t="inlineStr">
        <is>
          <t>Europe &amp; Domestic</t>
        </is>
      </c>
      <c r="B7" s="7" t="inlineStr">
        <is>
          <t>Short-haul</t>
        </is>
      </c>
      <c r="C7" s="7" t="inlineStr">
        <is>
          <t>Evening</t>
        </is>
      </c>
      <c r="D7" s="8" t="n">
        <v>0.002</v>
      </c>
      <c r="E7" s="8" t="n">
        <v>0.012</v>
      </c>
      <c r="F7" s="8" t="n">
        <v>0.165</v>
      </c>
      <c r="G7" s="8" t="n">
        <v>0.179</v>
      </c>
      <c r="H7" s="17" t="inlineStr">
        <is>
          <t>16:00-22:59 STD</t>
        </is>
      </c>
    </row>
    <row r="8">
      <c r="A8" s="7" t="inlineStr">
        <is>
          <t>North America</t>
        </is>
      </c>
      <c r="B8" s="7" t="inlineStr">
        <is>
          <t>Long-haul</t>
        </is>
      </c>
      <c r="C8" s="7" t="inlineStr">
        <is>
          <t>Early morning</t>
        </is>
      </c>
      <c r="D8" s="8" t="n">
        <v>0.025</v>
      </c>
      <c r="E8" s="8" t="n">
        <v>0.025</v>
      </c>
      <c r="F8" s="8" t="n">
        <v>0.31</v>
      </c>
      <c r="G8" s="8" t="n">
        <v>0.36</v>
      </c>
      <c r="H8" s="17" t="inlineStr">
        <is>
          <t>05:00-09:59 STD</t>
        </is>
      </c>
    </row>
    <row r="9">
      <c r="A9" s="12" t="inlineStr">
        <is>
          <t>North America</t>
        </is>
      </c>
      <c r="B9" s="12" t="inlineStr">
        <is>
          <t>Long-haul</t>
        </is>
      </c>
      <c r="C9" s="12" t="inlineStr">
        <is>
          <t>Midday</t>
        </is>
      </c>
      <c r="D9" s="13" t="n">
        <v>0.02</v>
      </c>
      <c r="E9" s="13" t="n">
        <v>0.02</v>
      </c>
      <c r="F9" s="13" t="n">
        <v>0.243</v>
      </c>
      <c r="G9" s="13" t="n">
        <v>0.283</v>
      </c>
      <c r="H9" s="18" t="inlineStr">
        <is>
          <t>10:00-15:59 STD</t>
        </is>
      </c>
    </row>
    <row r="10">
      <c r="A10" s="7" t="inlineStr">
        <is>
          <t>North America</t>
        </is>
      </c>
      <c r="B10" s="7" t="inlineStr">
        <is>
          <t>Long-haul</t>
        </is>
      </c>
      <c r="C10" s="7" t="inlineStr">
        <is>
          <t>Evening</t>
        </is>
      </c>
      <c r="D10" s="8" t="n">
        <v>0.024</v>
      </c>
      <c r="E10" s="8" t="n">
        <v>0.024</v>
      </c>
      <c r="F10" s="8" t="n">
        <v>0.297</v>
      </c>
      <c r="G10" s="8" t="n">
        <v>0.345</v>
      </c>
      <c r="H10" s="17" t="inlineStr">
        <is>
          <t>16:00-22:59 STD</t>
        </is>
      </c>
    </row>
    <row r="11">
      <c r="A11" s="7" t="inlineStr">
        <is>
          <t>Asia &amp; Oceania</t>
        </is>
      </c>
      <c r="B11" s="7" t="inlineStr">
        <is>
          <t>Long-haul</t>
        </is>
      </c>
      <c r="C11" s="7" t="inlineStr">
        <is>
          <t>Early morning</t>
        </is>
      </c>
      <c r="D11" s="8" t="n">
        <v>0.031</v>
      </c>
      <c r="E11" s="8" t="n">
        <v>0.028</v>
      </c>
      <c r="F11" s="8" t="n">
        <v>0.333</v>
      </c>
      <c r="G11" s="8" t="n">
        <v>0.392</v>
      </c>
      <c r="H11" s="17" t="inlineStr">
        <is>
          <t>05:00-09:59 STD</t>
        </is>
      </c>
    </row>
    <row r="12">
      <c r="A12" s="12" t="inlineStr">
        <is>
          <t>Asia &amp; Oceania</t>
        </is>
      </c>
      <c r="B12" s="12" t="inlineStr">
        <is>
          <t>Long-haul</t>
        </is>
      </c>
      <c r="C12" s="12" t="inlineStr">
        <is>
          <t>Midday</t>
        </is>
      </c>
      <c r="D12" s="13" t="n">
        <v>0.024</v>
      </c>
      <c r="E12" s="13" t="n">
        <v>0.022</v>
      </c>
      <c r="F12" s="13" t="n">
        <v>0.261</v>
      </c>
      <c r="G12" s="13" t="n">
        <v>0.307</v>
      </c>
      <c r="H12" s="18" t="inlineStr">
        <is>
          <t>10:00-15:59 STD</t>
        </is>
      </c>
    </row>
    <row r="13">
      <c r="A13" s="7" t="inlineStr">
        <is>
          <t>Asia &amp; Oceania</t>
        </is>
      </c>
      <c r="B13" s="7" t="inlineStr">
        <is>
          <t>Long-haul</t>
        </is>
      </c>
      <c r="C13" s="7" t="inlineStr">
        <is>
          <t>Evening</t>
        </is>
      </c>
      <c r="D13" s="8" t="n">
        <v>0.03</v>
      </c>
      <c r="E13" s="8" t="n">
        <v>0.026</v>
      </c>
      <c r="F13" s="8" t="n">
        <v>0.319</v>
      </c>
      <c r="G13" s="8" t="n">
        <v>0.375</v>
      </c>
      <c r="H13" s="17" t="inlineStr">
        <is>
          <t>16:00-22:59 STD</t>
        </is>
      </c>
    </row>
    <row r="14">
      <c r="A14" s="7" t="inlineStr">
        <is>
          <t>Middle East &amp; Africa</t>
        </is>
      </c>
      <c r="B14" s="7" t="inlineStr">
        <is>
          <t>Long-haul</t>
        </is>
      </c>
      <c r="C14" s="7" t="inlineStr">
        <is>
          <t>Early morning</t>
        </is>
      </c>
      <c r="D14" s="8" t="n">
        <v>0.02</v>
      </c>
      <c r="E14" s="8" t="n">
        <v>0.021</v>
      </c>
      <c r="F14" s="8" t="n">
        <v>0.259</v>
      </c>
      <c r="G14" s="8" t="n">
        <v>0.3</v>
      </c>
      <c r="H14" s="17" t="inlineStr">
        <is>
          <t>05:00-09:59 STD</t>
        </is>
      </c>
    </row>
    <row r="15">
      <c r="A15" s="12" t="inlineStr">
        <is>
          <t>Middle East &amp; Africa</t>
        </is>
      </c>
      <c r="B15" s="12" t="inlineStr">
        <is>
          <t>Long-haul</t>
        </is>
      </c>
      <c r="C15" s="12" t="inlineStr">
        <is>
          <t>Midday</t>
        </is>
      </c>
      <c r="D15" s="13" t="n">
        <v>0.015</v>
      </c>
      <c r="E15" s="13" t="n">
        <v>0.016</v>
      </c>
      <c r="F15" s="13" t="n">
        <v>0.203</v>
      </c>
      <c r="G15" s="13" t="n">
        <v>0.234</v>
      </c>
      <c r="H15" s="18" t="inlineStr">
        <is>
          <t>10:00-15:59 STD</t>
        </is>
      </c>
    </row>
    <row r="16">
      <c r="A16" s="7" t="inlineStr">
        <is>
          <t>Middle East &amp; Africa</t>
        </is>
      </c>
      <c r="B16" s="7" t="inlineStr">
        <is>
          <t>Long-haul</t>
        </is>
      </c>
      <c r="C16" s="7" t="inlineStr">
        <is>
          <t>Evening</t>
        </is>
      </c>
      <c r="D16" s="8" t="n">
        <v>0.019</v>
      </c>
      <c r="E16" s="8" t="n">
        <v>0.02</v>
      </c>
      <c r="F16" s="8" t="n">
        <v>0.248</v>
      </c>
      <c r="G16" s="8" t="n">
        <v>0.287</v>
      </c>
      <c r="H16" s="17" t="inlineStr">
        <is>
          <t>16:00-22:59 STD</t>
        </is>
      </c>
    </row>
    <row r="17">
      <c r="A17" s="7" t="inlineStr">
        <is>
          <t>South America</t>
        </is>
      </c>
      <c r="B17" s="7" t="inlineStr">
        <is>
          <t>Long-haul</t>
        </is>
      </c>
      <c r="C17" s="7" t="inlineStr">
        <is>
          <t>Early morning</t>
        </is>
      </c>
      <c r="D17" s="8" t="n">
        <v>0.016</v>
      </c>
      <c r="E17" s="8" t="n">
        <v>0.017</v>
      </c>
      <c r="F17" s="8" t="n">
        <v>0.236</v>
      </c>
      <c r="G17" s="8" t="n">
        <v>0.269</v>
      </c>
      <c r="H17" s="17" t="inlineStr">
        <is>
          <t>05:00-09:59 STD</t>
        </is>
      </c>
    </row>
    <row r="18">
      <c r="A18" s="12" t="inlineStr">
        <is>
          <t>South America</t>
        </is>
      </c>
      <c r="B18" s="12" t="inlineStr">
        <is>
          <t>Long-haul</t>
        </is>
      </c>
      <c r="C18" s="12" t="inlineStr">
        <is>
          <t>Midday</t>
        </is>
      </c>
      <c r="D18" s="13" t="n">
        <v>0.013</v>
      </c>
      <c r="E18" s="13" t="n">
        <v>0.014</v>
      </c>
      <c r="F18" s="13" t="n">
        <v>0.185</v>
      </c>
      <c r="G18" s="13" t="n">
        <v>0.212</v>
      </c>
      <c r="H18" s="18" t="inlineStr">
        <is>
          <t>10:00-15:59 STD</t>
        </is>
      </c>
    </row>
    <row r="19">
      <c r="A19" s="7" t="inlineStr">
        <is>
          <t>South America</t>
        </is>
      </c>
      <c r="B19" s="7" t="inlineStr">
        <is>
          <t>Long-haul</t>
        </is>
      </c>
      <c r="C19" s="7" t="inlineStr">
        <is>
          <t>Evening</t>
        </is>
      </c>
      <c r="D19" s="8" t="n">
        <v>0.015</v>
      </c>
      <c r="E19" s="8" t="n">
        <v>0.017</v>
      </c>
      <c r="F19" s="8" t="n">
        <v>0.226</v>
      </c>
      <c r="G19" s="8" t="n">
        <v>0.258</v>
      </c>
      <c r="H19" s="17" t="inlineStr">
        <is>
          <t>16:00-22:59 STD</t>
        </is>
      </c>
    </row>
  </sheetData>
  <mergeCells count="2">
    <mergeCell ref="A2:H2"/>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79"/>
  <sheetViews>
    <sheetView workbookViewId="0">
      <pane ySplit="4" topLeftCell="A5" activePane="bottomLeft" state="frozen"/>
      <selection pane="bottomLeft" activeCell="A1" sqref="A1"/>
    </sheetView>
  </sheetViews>
  <sheetFormatPr baseColWidth="8" defaultRowHeight="15"/>
  <cols>
    <col width="10" customWidth="1" min="1" max="1"/>
    <col width="12" customWidth="1" min="2" max="2"/>
    <col width="24" customWidth="1" min="3" max="3"/>
    <col width="15" customWidth="1" min="4" max="4"/>
    <col width="11" customWidth="1" min="5" max="5"/>
    <col width="22" customWidth="1" min="6" max="6"/>
    <col width="15" customWidth="1" min="7" max="7"/>
    <col width="8" customWidth="1" min="8" max="8"/>
    <col width="9" customWidth="1" min="9" max="9"/>
    <col width="9" customWidth="1" min="10" max="10"/>
    <col width="9" customWidth="1" min="11" max="11"/>
    <col width="9" customWidth="1" min="12" max="12"/>
    <col width="10" customWidth="1" min="13" max="13"/>
    <col width="10" customWidth="1" min="14" max="14"/>
    <col width="10" customWidth="1" min="15" max="15"/>
    <col width="13" customWidth="1" min="16" max="16"/>
    <col width="10" customWidth="1" min="17" max="17"/>
    <col width="10" customWidth="1" min="18" max="18"/>
    <col width="10" customWidth="1" min="19" max="19"/>
    <col width="11" customWidth="1" min="20" max="20"/>
    <col width="10" customWidth="1" min="21" max="21"/>
  </cols>
  <sheetData>
    <row r="1">
      <c r="A1" s="1" t="inlineStr">
        <is>
          <t>Schedule Sample - Representative Day Assigned to Categories</t>
        </is>
      </c>
    </row>
    <row r="2">
      <c r="A2" s="2" t="inlineStr">
        <is>
          <t>18 Jun 2025: every LHR departure classified by Route Group + Time Band; recommended % applied live via SUMIFS and compared with the dataset's actual eligible counts</t>
        </is>
      </c>
    </row>
    <row r="4">
      <c r="A4" s="3" t="inlineStr">
        <is>
          <t>Flight No.</t>
        </is>
      </c>
      <c r="B4" s="3" t="inlineStr">
        <is>
          <t>Departure Time</t>
        </is>
      </c>
      <c r="C4" s="3" t="inlineStr">
        <is>
          <t>Destination</t>
        </is>
      </c>
      <c r="D4" s="3" t="inlineStr">
        <is>
          <t>Region</t>
        </is>
      </c>
      <c r="E4" s="3" t="inlineStr">
        <is>
          <t>Route Type</t>
        </is>
      </c>
      <c r="F4" s="3" t="inlineStr">
        <is>
          <t>Category: Route Group</t>
        </is>
      </c>
      <c r="G4" s="3" t="inlineStr">
        <is>
          <t>Category: Time Band</t>
        </is>
      </c>
      <c r="H4" s="3" t="inlineStr">
        <is>
          <t>Seats</t>
        </is>
      </c>
      <c r="I4" s="3" t="inlineStr">
        <is>
          <t>Pax (85%)</t>
        </is>
      </c>
      <c r="J4" s="3" t="inlineStr">
        <is>
          <t>Tier 1 %</t>
        </is>
      </c>
      <c r="K4" s="3" t="inlineStr">
        <is>
          <t>Tier 2 %</t>
        </is>
      </c>
      <c r="L4" s="3" t="inlineStr">
        <is>
          <t>Tier 3 %</t>
        </is>
      </c>
      <c r="M4" s="3" t="inlineStr">
        <is>
          <t>Tier 1 pax</t>
        </is>
      </c>
      <c r="N4" s="3" t="inlineStr">
        <is>
          <t>Tier 2 pax</t>
        </is>
      </c>
      <c r="O4" s="3" t="inlineStr">
        <is>
          <t>Tier 3 pax</t>
        </is>
      </c>
      <c r="P4" s="3" t="inlineStr">
        <is>
          <t>Total modelled</t>
        </is>
      </c>
      <c r="Q4" s="3" t="inlineStr">
        <is>
          <t>Actual Tier 1</t>
        </is>
      </c>
      <c r="R4" s="3" t="inlineStr">
        <is>
          <t>Actual Tier 2</t>
        </is>
      </c>
      <c r="S4" s="3" t="inlineStr">
        <is>
          <t>Actual Tier 3</t>
        </is>
      </c>
      <c r="T4" s="3" t="inlineStr">
        <is>
          <t>Actual total</t>
        </is>
      </c>
      <c r="U4" s="3" t="inlineStr">
        <is>
          <t>Variance</t>
        </is>
      </c>
    </row>
    <row r="5">
      <c r="A5" s="17" t="inlineStr">
        <is>
          <t>BA4609</t>
        </is>
      </c>
      <c r="B5" s="17" t="inlineStr">
        <is>
          <t>06:09</t>
        </is>
      </c>
      <c r="C5" s="17" t="inlineStr">
        <is>
          <t>DXB - UAE</t>
        </is>
      </c>
      <c r="D5" s="17" t="inlineStr">
        <is>
          <t>Middle East</t>
        </is>
      </c>
      <c r="E5" s="17" t="inlineStr">
        <is>
          <t>Long-haul</t>
        </is>
      </c>
      <c r="F5" s="17" t="inlineStr">
        <is>
          <t>Middle East &amp; Africa</t>
        </is>
      </c>
      <c r="G5" s="17" t="inlineStr">
        <is>
          <t>Early morning</t>
        </is>
      </c>
      <c r="H5" s="10" t="n">
        <v>256</v>
      </c>
      <c r="I5" s="10" t="n">
        <v>218</v>
      </c>
      <c r="J5" s="8">
        <f>SUMIFS('Recommended Lookup'!$D$5:$D$19,'Recommended Lookup'!$A$5:$A$19,$F5,'Recommended Lookup'!$C$5:$C$19,$G5)</f>
        <v/>
      </c>
      <c r="K5" s="8">
        <f>SUMIFS('Recommended Lookup'!$E$5:$E$19,'Recommended Lookup'!$A$5:$A$19,$F5,'Recommended Lookup'!$C$5:$C$19,$G5)</f>
        <v/>
      </c>
      <c r="L5" s="8">
        <f>SUMIFS('Recommended Lookup'!$F$5:$F$19,'Recommended Lookup'!$A$5:$A$19,$F5,'Recommended Lookup'!$C$5:$C$19,$G5)</f>
        <v/>
      </c>
      <c r="M5" s="10">
        <f>ROUND($I5*J5,0)</f>
        <v/>
      </c>
      <c r="N5" s="10">
        <f>ROUND($I5*K5,0)</f>
        <v/>
      </c>
      <c r="O5" s="10">
        <f>ROUND($I5*L5,0)</f>
        <v/>
      </c>
      <c r="P5" s="10">
        <f>SUM(M5:O5)</f>
        <v/>
      </c>
      <c r="Q5" s="10" t="n">
        <v>1</v>
      </c>
      <c r="R5" s="10" t="n">
        <v>1</v>
      </c>
      <c r="S5" s="10" t="n">
        <v>11</v>
      </c>
      <c r="T5" s="10">
        <f>SUM(Q5:S5)</f>
        <v/>
      </c>
      <c r="U5" s="10">
        <f>P5-T5</f>
        <v/>
      </c>
    </row>
    <row r="6">
      <c r="A6" s="18" t="inlineStr">
        <is>
          <t>BA9934</t>
        </is>
      </c>
      <c r="B6" s="18" t="inlineStr">
        <is>
          <t>06:35</t>
        </is>
      </c>
      <c r="C6" s="18" t="inlineStr">
        <is>
          <t>AMS - Netherlands</t>
        </is>
      </c>
      <c r="D6" s="18" t="inlineStr">
        <is>
          <t>Europe</t>
        </is>
      </c>
      <c r="E6" s="18" t="inlineStr">
        <is>
          <t>Short-haul</t>
        </is>
      </c>
      <c r="F6" s="18" t="inlineStr">
        <is>
          <t>Europe &amp; Domestic</t>
        </is>
      </c>
      <c r="G6" s="18" t="inlineStr">
        <is>
          <t>Early morning</t>
        </is>
      </c>
      <c r="H6" s="15" t="n">
        <v>180</v>
      </c>
      <c r="I6" s="15" t="n">
        <v>153</v>
      </c>
      <c r="J6" s="13">
        <f>SUMIFS('Recommended Lookup'!$D$5:$D$19,'Recommended Lookup'!$A$5:$A$19,$F6,'Recommended Lookup'!$C$5:$C$19,$G6)</f>
        <v/>
      </c>
      <c r="K6" s="13">
        <f>SUMIFS('Recommended Lookup'!$E$5:$E$19,'Recommended Lookup'!$A$5:$A$19,$F6,'Recommended Lookup'!$C$5:$C$19,$G6)</f>
        <v/>
      </c>
      <c r="L6" s="13">
        <f>SUMIFS('Recommended Lookup'!$F$5:$F$19,'Recommended Lookup'!$A$5:$A$19,$F6,'Recommended Lookup'!$C$5:$C$19,$G6)</f>
        <v/>
      </c>
      <c r="M6" s="15">
        <f>ROUND($I6*J6,0)</f>
        <v/>
      </c>
      <c r="N6" s="15">
        <f>ROUND($I6*K6,0)</f>
        <v/>
      </c>
      <c r="O6" s="15">
        <f>ROUND($I6*L6,0)</f>
        <v/>
      </c>
      <c r="P6" s="15">
        <f>SUM(M6:O6)</f>
        <v/>
      </c>
      <c r="Q6" s="15" t="n">
        <v>1</v>
      </c>
      <c r="R6" s="15" t="n">
        <v>13</v>
      </c>
      <c r="S6" s="15" t="n">
        <v>47</v>
      </c>
      <c r="T6" s="15">
        <f>SUM(Q6:S6)</f>
        <v/>
      </c>
      <c r="U6" s="15">
        <f>P6-T6</f>
        <v/>
      </c>
    </row>
    <row r="7">
      <c r="A7" s="17" t="inlineStr">
        <is>
          <t>BA5810</t>
        </is>
      </c>
      <c r="B7" s="17" t="inlineStr">
        <is>
          <t>07:31</t>
        </is>
      </c>
      <c r="C7" s="17" t="inlineStr">
        <is>
          <t>LAX - USA</t>
        </is>
      </c>
      <c r="D7" s="17" t="inlineStr">
        <is>
          <t>North America</t>
        </is>
      </c>
      <c r="E7" s="17" t="inlineStr">
        <is>
          <t>Long-haul</t>
        </is>
      </c>
      <c r="F7" s="17" t="inlineStr">
        <is>
          <t>North America</t>
        </is>
      </c>
      <c r="G7" s="17" t="inlineStr">
        <is>
          <t>Early morning</t>
        </is>
      </c>
      <c r="H7" s="10" t="n">
        <v>256</v>
      </c>
      <c r="I7" s="10" t="n">
        <v>218</v>
      </c>
      <c r="J7" s="8">
        <f>SUMIFS('Recommended Lookup'!$D$5:$D$19,'Recommended Lookup'!$A$5:$A$19,$F7,'Recommended Lookup'!$C$5:$C$19,$G7)</f>
        <v/>
      </c>
      <c r="K7" s="8">
        <f>SUMIFS('Recommended Lookup'!$E$5:$E$19,'Recommended Lookup'!$A$5:$A$19,$F7,'Recommended Lookup'!$C$5:$C$19,$G7)</f>
        <v/>
      </c>
      <c r="L7" s="8">
        <f>SUMIFS('Recommended Lookup'!$F$5:$F$19,'Recommended Lookup'!$A$5:$A$19,$F7,'Recommended Lookup'!$C$5:$C$19,$G7)</f>
        <v/>
      </c>
      <c r="M7" s="10">
        <f>ROUND($I7*J7,0)</f>
        <v/>
      </c>
      <c r="N7" s="10">
        <f>ROUND($I7*K7,0)</f>
        <v/>
      </c>
      <c r="O7" s="10">
        <f>ROUND($I7*L7,0)</f>
        <v/>
      </c>
      <c r="P7" s="10">
        <f>SUM(M7:O7)</f>
        <v/>
      </c>
      <c r="Q7" s="10" t="n">
        <v>0</v>
      </c>
      <c r="R7" s="10" t="n">
        <v>0</v>
      </c>
      <c r="S7" s="10" t="n">
        <v>7</v>
      </c>
      <c r="T7" s="10">
        <f>SUM(Q7:S7)</f>
        <v/>
      </c>
      <c r="U7" s="10">
        <f>P7-T7</f>
        <v/>
      </c>
    </row>
    <row r="8">
      <c r="A8" s="18" t="inlineStr">
        <is>
          <t>BA2551</t>
        </is>
      </c>
      <c r="B8" s="18" t="inlineStr">
        <is>
          <t>08:22</t>
        </is>
      </c>
      <c r="C8" s="18" t="inlineStr">
        <is>
          <t>VIE - Austria</t>
        </is>
      </c>
      <c r="D8" s="18" t="inlineStr">
        <is>
          <t>Europe</t>
        </is>
      </c>
      <c r="E8" s="18" t="inlineStr">
        <is>
          <t>Short-haul</t>
        </is>
      </c>
      <c r="F8" s="18" t="inlineStr">
        <is>
          <t>Europe &amp; Domestic</t>
        </is>
      </c>
      <c r="G8" s="18" t="inlineStr">
        <is>
          <t>Early morning</t>
        </is>
      </c>
      <c r="H8" s="15" t="n">
        <v>180</v>
      </c>
      <c r="I8" s="15" t="n">
        <v>153</v>
      </c>
      <c r="J8" s="13">
        <f>SUMIFS('Recommended Lookup'!$D$5:$D$19,'Recommended Lookup'!$A$5:$A$19,$F8,'Recommended Lookup'!$C$5:$C$19,$G8)</f>
        <v/>
      </c>
      <c r="K8" s="13">
        <f>SUMIFS('Recommended Lookup'!$E$5:$E$19,'Recommended Lookup'!$A$5:$A$19,$F8,'Recommended Lookup'!$C$5:$C$19,$G8)</f>
        <v/>
      </c>
      <c r="L8" s="13">
        <f>SUMIFS('Recommended Lookup'!$F$5:$F$19,'Recommended Lookup'!$A$5:$A$19,$F8,'Recommended Lookup'!$C$5:$C$19,$G8)</f>
        <v/>
      </c>
      <c r="M8" s="15">
        <f>ROUND($I8*J8,0)</f>
        <v/>
      </c>
      <c r="N8" s="15">
        <f>ROUND($I8*K8,0)</f>
        <v/>
      </c>
      <c r="O8" s="15">
        <f>ROUND($I8*L8,0)</f>
        <v/>
      </c>
      <c r="P8" s="15">
        <f>SUM(M8:O8)</f>
        <v/>
      </c>
      <c r="Q8" s="15" t="n">
        <v>0</v>
      </c>
      <c r="R8" s="15" t="n">
        <v>7</v>
      </c>
      <c r="S8" s="15" t="n">
        <v>27</v>
      </c>
      <c r="T8" s="15">
        <f>SUM(Q8:S8)</f>
        <v/>
      </c>
      <c r="U8" s="15">
        <f>P8-T8</f>
        <v/>
      </c>
    </row>
    <row r="9">
      <c r="A9" s="17" t="inlineStr">
        <is>
          <t>BA1921</t>
        </is>
      </c>
      <c r="B9" s="17" t="inlineStr">
        <is>
          <t>09:08</t>
        </is>
      </c>
      <c r="C9" s="17" t="inlineStr">
        <is>
          <t>MAD - Spain</t>
        </is>
      </c>
      <c r="D9" s="17" t="inlineStr">
        <is>
          <t>Europe</t>
        </is>
      </c>
      <c r="E9" s="17" t="inlineStr">
        <is>
          <t>Short-haul</t>
        </is>
      </c>
      <c r="F9" s="17" t="inlineStr">
        <is>
          <t>Europe &amp; Domestic</t>
        </is>
      </c>
      <c r="G9" s="17" t="inlineStr">
        <is>
          <t>Early morning</t>
        </is>
      </c>
      <c r="H9" s="10" t="n">
        <v>180</v>
      </c>
      <c r="I9" s="10" t="n">
        <v>153</v>
      </c>
      <c r="J9" s="8">
        <f>SUMIFS('Recommended Lookup'!$D$5:$D$19,'Recommended Lookup'!$A$5:$A$19,$F9,'Recommended Lookup'!$C$5:$C$19,$G9)</f>
        <v/>
      </c>
      <c r="K9" s="8">
        <f>SUMIFS('Recommended Lookup'!$E$5:$E$19,'Recommended Lookup'!$A$5:$A$19,$F9,'Recommended Lookup'!$C$5:$C$19,$G9)</f>
        <v/>
      </c>
      <c r="L9" s="8">
        <f>SUMIFS('Recommended Lookup'!$F$5:$F$19,'Recommended Lookup'!$A$5:$A$19,$F9,'Recommended Lookup'!$C$5:$C$19,$G9)</f>
        <v/>
      </c>
      <c r="M9" s="10">
        <f>ROUND($I9*J9,0)</f>
        <v/>
      </c>
      <c r="N9" s="10">
        <f>ROUND($I9*K9,0)</f>
        <v/>
      </c>
      <c r="O9" s="10">
        <f>ROUND($I9*L9,0)</f>
        <v/>
      </c>
      <c r="P9" s="10">
        <f>SUM(M9:O9)</f>
        <v/>
      </c>
      <c r="Q9" s="10" t="n">
        <v>1</v>
      </c>
      <c r="R9" s="10" t="n">
        <v>6</v>
      </c>
      <c r="S9" s="10" t="n">
        <v>26</v>
      </c>
      <c r="T9" s="10">
        <f>SUM(Q9:S9)</f>
        <v/>
      </c>
      <c r="U9" s="10">
        <f>P9-T9</f>
        <v/>
      </c>
    </row>
    <row r="10">
      <c r="A10" s="18" t="inlineStr">
        <is>
          <t>BA7910</t>
        </is>
      </c>
      <c r="B10" s="18" t="inlineStr">
        <is>
          <t>09:21</t>
        </is>
      </c>
      <c r="C10" s="18" t="inlineStr">
        <is>
          <t>HND - Japan</t>
        </is>
      </c>
      <c r="D10" s="18" t="inlineStr">
        <is>
          <t>Asia</t>
        </is>
      </c>
      <c r="E10" s="18" t="inlineStr">
        <is>
          <t>Long-haul</t>
        </is>
      </c>
      <c r="F10" s="18" t="inlineStr">
        <is>
          <t>Asia &amp; Oceania</t>
        </is>
      </c>
      <c r="G10" s="18" t="inlineStr">
        <is>
          <t>Early morning</t>
        </is>
      </c>
      <c r="H10" s="15" t="n">
        <v>332</v>
      </c>
      <c r="I10" s="15" t="n">
        <v>282</v>
      </c>
      <c r="J10" s="13">
        <f>SUMIFS('Recommended Lookup'!$D$5:$D$19,'Recommended Lookup'!$A$5:$A$19,$F10,'Recommended Lookup'!$C$5:$C$19,$G10)</f>
        <v/>
      </c>
      <c r="K10" s="13">
        <f>SUMIFS('Recommended Lookup'!$E$5:$E$19,'Recommended Lookup'!$A$5:$A$19,$F10,'Recommended Lookup'!$C$5:$C$19,$G10)</f>
        <v/>
      </c>
      <c r="L10" s="13">
        <f>SUMIFS('Recommended Lookup'!$F$5:$F$19,'Recommended Lookup'!$A$5:$A$19,$F10,'Recommended Lookup'!$C$5:$C$19,$G10)</f>
        <v/>
      </c>
      <c r="M10" s="15">
        <f>ROUND($I10*J10,0)</f>
        <v/>
      </c>
      <c r="N10" s="15">
        <f>ROUND($I10*K10,0)</f>
        <v/>
      </c>
      <c r="O10" s="15">
        <f>ROUND($I10*L10,0)</f>
        <v/>
      </c>
      <c r="P10" s="15">
        <f>SUM(M10:O10)</f>
        <v/>
      </c>
      <c r="Q10" s="15" t="n">
        <v>0</v>
      </c>
      <c r="R10" s="15" t="n">
        <v>10</v>
      </c>
      <c r="S10" s="15" t="n">
        <v>38</v>
      </c>
      <c r="T10" s="15">
        <f>SUM(Q10:S10)</f>
        <v/>
      </c>
      <c r="U10" s="15">
        <f>P10-T10</f>
        <v/>
      </c>
    </row>
    <row r="11">
      <c r="A11" s="17" t="inlineStr">
        <is>
          <t>BA3345</t>
        </is>
      </c>
      <c r="B11" s="17" t="inlineStr">
        <is>
          <t>09:28</t>
        </is>
      </c>
      <c r="C11" s="17" t="inlineStr">
        <is>
          <t>DXB - UAE</t>
        </is>
      </c>
      <c r="D11" s="17" t="inlineStr">
        <is>
          <t>Middle East</t>
        </is>
      </c>
      <c r="E11" s="17" t="inlineStr">
        <is>
          <t>Long-haul</t>
        </is>
      </c>
      <c r="F11" s="17" t="inlineStr">
        <is>
          <t>Middle East &amp; Africa</t>
        </is>
      </c>
      <c r="G11" s="17" t="inlineStr">
        <is>
          <t>Early morning</t>
        </is>
      </c>
      <c r="H11" s="10" t="n">
        <v>235</v>
      </c>
      <c r="I11" s="10" t="n">
        <v>200</v>
      </c>
      <c r="J11" s="8">
        <f>SUMIFS('Recommended Lookup'!$D$5:$D$19,'Recommended Lookup'!$A$5:$A$19,$F11,'Recommended Lookup'!$C$5:$C$19,$G11)</f>
        <v/>
      </c>
      <c r="K11" s="8">
        <f>SUMIFS('Recommended Lookup'!$E$5:$E$19,'Recommended Lookup'!$A$5:$A$19,$F11,'Recommended Lookup'!$C$5:$C$19,$G11)</f>
        <v/>
      </c>
      <c r="L11" s="8">
        <f>SUMIFS('Recommended Lookup'!$F$5:$F$19,'Recommended Lookup'!$A$5:$A$19,$F11,'Recommended Lookup'!$C$5:$C$19,$G11)</f>
        <v/>
      </c>
      <c r="M11" s="10">
        <f>ROUND($I11*J11,0)</f>
        <v/>
      </c>
      <c r="N11" s="10">
        <f>ROUND($I11*K11,0)</f>
        <v/>
      </c>
      <c r="O11" s="10">
        <f>ROUND($I11*L11,0)</f>
        <v/>
      </c>
      <c r="P11" s="10">
        <f>SUM(M11:O11)</f>
        <v/>
      </c>
      <c r="Q11" s="10" t="n">
        <v>0</v>
      </c>
      <c r="R11" s="10" t="n">
        <v>12</v>
      </c>
      <c r="S11" s="10" t="n">
        <v>42</v>
      </c>
      <c r="T11" s="10">
        <f>SUM(Q11:S11)</f>
        <v/>
      </c>
      <c r="U11" s="10">
        <f>P11-T11</f>
        <v/>
      </c>
    </row>
    <row r="12">
      <c r="A12" s="18" t="inlineStr">
        <is>
          <t>BA4690</t>
        </is>
      </c>
      <c r="B12" s="18" t="inlineStr">
        <is>
          <t>09:57</t>
        </is>
      </c>
      <c r="C12" s="18" t="inlineStr">
        <is>
          <t>DXB - UAE</t>
        </is>
      </c>
      <c r="D12" s="18" t="inlineStr">
        <is>
          <t>Middle East</t>
        </is>
      </c>
      <c r="E12" s="18" t="inlineStr">
        <is>
          <t>Long-haul</t>
        </is>
      </c>
      <c r="F12" s="18" t="inlineStr">
        <is>
          <t>Middle East &amp; Africa</t>
        </is>
      </c>
      <c r="G12" s="18" t="inlineStr">
        <is>
          <t>Early morning</t>
        </is>
      </c>
      <c r="H12" s="15" t="n">
        <v>235</v>
      </c>
      <c r="I12" s="15" t="n">
        <v>200</v>
      </c>
      <c r="J12" s="13">
        <f>SUMIFS('Recommended Lookup'!$D$5:$D$19,'Recommended Lookup'!$A$5:$A$19,$F12,'Recommended Lookup'!$C$5:$C$19,$G12)</f>
        <v/>
      </c>
      <c r="K12" s="13">
        <f>SUMIFS('Recommended Lookup'!$E$5:$E$19,'Recommended Lookup'!$A$5:$A$19,$F12,'Recommended Lookup'!$C$5:$C$19,$G12)</f>
        <v/>
      </c>
      <c r="L12" s="13">
        <f>SUMIFS('Recommended Lookup'!$F$5:$F$19,'Recommended Lookup'!$A$5:$A$19,$F12,'Recommended Lookup'!$C$5:$C$19,$G12)</f>
        <v/>
      </c>
      <c r="M12" s="15">
        <f>ROUND($I12*J12,0)</f>
        <v/>
      </c>
      <c r="N12" s="15">
        <f>ROUND($I12*K12,0)</f>
        <v/>
      </c>
      <c r="O12" s="15">
        <f>ROUND($I12*L12,0)</f>
        <v/>
      </c>
      <c r="P12" s="15">
        <f>SUM(M12:O12)</f>
        <v/>
      </c>
      <c r="Q12" s="15" t="n">
        <v>0</v>
      </c>
      <c r="R12" s="15" t="n">
        <v>0</v>
      </c>
      <c r="S12" s="15" t="n">
        <v>4</v>
      </c>
      <c r="T12" s="15">
        <f>SUM(Q12:S12)</f>
        <v/>
      </c>
      <c r="U12" s="15">
        <f>P12-T12</f>
        <v/>
      </c>
    </row>
    <row r="13">
      <c r="A13" s="17" t="inlineStr">
        <is>
          <t>BA6427</t>
        </is>
      </c>
      <c r="B13" s="17" t="inlineStr">
        <is>
          <t>10:11</t>
        </is>
      </c>
      <c r="C13" s="17" t="inlineStr">
        <is>
          <t>DXB - UAE</t>
        </is>
      </c>
      <c r="D13" s="17" t="inlineStr">
        <is>
          <t>Middle East</t>
        </is>
      </c>
      <c r="E13" s="17" t="inlineStr">
        <is>
          <t>Long-haul</t>
        </is>
      </c>
      <c r="F13" s="17" t="inlineStr">
        <is>
          <t>Middle East &amp; Africa</t>
        </is>
      </c>
      <c r="G13" s="17" t="inlineStr">
        <is>
          <t>Midday</t>
        </is>
      </c>
      <c r="H13" s="10" t="n">
        <v>469</v>
      </c>
      <c r="I13" s="10" t="n">
        <v>399</v>
      </c>
      <c r="J13" s="8">
        <f>SUMIFS('Recommended Lookup'!$D$5:$D$19,'Recommended Lookup'!$A$5:$A$19,$F13,'Recommended Lookup'!$C$5:$C$19,$G13)</f>
        <v/>
      </c>
      <c r="K13" s="8">
        <f>SUMIFS('Recommended Lookup'!$E$5:$E$19,'Recommended Lookup'!$A$5:$A$19,$F13,'Recommended Lookup'!$C$5:$C$19,$G13)</f>
        <v/>
      </c>
      <c r="L13" s="8">
        <f>SUMIFS('Recommended Lookup'!$F$5:$F$19,'Recommended Lookup'!$A$5:$A$19,$F13,'Recommended Lookup'!$C$5:$C$19,$G13)</f>
        <v/>
      </c>
      <c r="M13" s="10">
        <f>ROUND($I13*J13,0)</f>
        <v/>
      </c>
      <c r="N13" s="10">
        <f>ROUND($I13*K13,0)</f>
        <v/>
      </c>
      <c r="O13" s="10">
        <f>ROUND($I13*L13,0)</f>
        <v/>
      </c>
      <c r="P13" s="10">
        <f>SUM(M13:O13)</f>
        <v/>
      </c>
      <c r="Q13" s="10" t="n">
        <v>0</v>
      </c>
      <c r="R13" s="10" t="n">
        <v>8</v>
      </c>
      <c r="S13" s="10" t="n">
        <v>31</v>
      </c>
      <c r="T13" s="10">
        <f>SUM(Q13:S13)</f>
        <v/>
      </c>
      <c r="U13" s="10">
        <f>P13-T13</f>
        <v/>
      </c>
    </row>
    <row r="14">
      <c r="A14" s="18" t="inlineStr">
        <is>
          <t>BA6938</t>
        </is>
      </c>
      <c r="B14" s="18" t="inlineStr">
        <is>
          <t>10:21</t>
        </is>
      </c>
      <c r="C14" s="18" t="inlineStr">
        <is>
          <t>FRA - Germany</t>
        </is>
      </c>
      <c r="D14" s="18" t="inlineStr">
        <is>
          <t>Europe</t>
        </is>
      </c>
      <c r="E14" s="18" t="inlineStr">
        <is>
          <t>Short-haul</t>
        </is>
      </c>
      <c r="F14" s="18" t="inlineStr">
        <is>
          <t>Europe &amp; Domestic</t>
        </is>
      </c>
      <c r="G14" s="18" t="inlineStr">
        <is>
          <t>Midday</t>
        </is>
      </c>
      <c r="H14" s="15" t="n">
        <v>180</v>
      </c>
      <c r="I14" s="15" t="n">
        <v>153</v>
      </c>
      <c r="J14" s="13">
        <f>SUMIFS('Recommended Lookup'!$D$5:$D$19,'Recommended Lookup'!$A$5:$A$19,$F14,'Recommended Lookup'!$C$5:$C$19,$G14)</f>
        <v/>
      </c>
      <c r="K14" s="13">
        <f>SUMIFS('Recommended Lookup'!$E$5:$E$19,'Recommended Lookup'!$A$5:$A$19,$F14,'Recommended Lookup'!$C$5:$C$19,$G14)</f>
        <v/>
      </c>
      <c r="L14" s="13">
        <f>SUMIFS('Recommended Lookup'!$F$5:$F$19,'Recommended Lookup'!$A$5:$A$19,$F14,'Recommended Lookup'!$C$5:$C$19,$G14)</f>
        <v/>
      </c>
      <c r="M14" s="15">
        <f>ROUND($I14*J14,0)</f>
        <v/>
      </c>
      <c r="N14" s="15">
        <f>ROUND($I14*K14,0)</f>
        <v/>
      </c>
      <c r="O14" s="15">
        <f>ROUND($I14*L14,0)</f>
        <v/>
      </c>
      <c r="P14" s="15">
        <f>SUM(M14:O14)</f>
        <v/>
      </c>
      <c r="Q14" s="15" t="n">
        <v>0</v>
      </c>
      <c r="R14" s="15" t="n">
        <v>16</v>
      </c>
      <c r="S14" s="15" t="n">
        <v>54</v>
      </c>
      <c r="T14" s="15">
        <f>SUM(Q14:S14)</f>
        <v/>
      </c>
      <c r="U14" s="15">
        <f>P14-T14</f>
        <v/>
      </c>
    </row>
    <row r="15">
      <c r="A15" s="17" t="inlineStr">
        <is>
          <t>BA9611</t>
        </is>
      </c>
      <c r="B15" s="17" t="inlineStr">
        <is>
          <t>10:24</t>
        </is>
      </c>
      <c r="C15" s="17" t="inlineStr">
        <is>
          <t>VIE - Austria</t>
        </is>
      </c>
      <c r="D15" s="17" t="inlineStr">
        <is>
          <t>Europe</t>
        </is>
      </c>
      <c r="E15" s="17" t="inlineStr">
        <is>
          <t>Short-haul</t>
        </is>
      </c>
      <c r="F15" s="17" t="inlineStr">
        <is>
          <t>Europe &amp; Domestic</t>
        </is>
      </c>
      <c r="G15" s="17" t="inlineStr">
        <is>
          <t>Midday</t>
        </is>
      </c>
      <c r="H15" s="10" t="n">
        <v>180</v>
      </c>
      <c r="I15" s="10" t="n">
        <v>153</v>
      </c>
      <c r="J15" s="8">
        <f>SUMIFS('Recommended Lookup'!$D$5:$D$19,'Recommended Lookup'!$A$5:$A$19,$F15,'Recommended Lookup'!$C$5:$C$19,$G15)</f>
        <v/>
      </c>
      <c r="K15" s="8">
        <f>SUMIFS('Recommended Lookup'!$E$5:$E$19,'Recommended Lookup'!$A$5:$A$19,$F15,'Recommended Lookup'!$C$5:$C$19,$G15)</f>
        <v/>
      </c>
      <c r="L15" s="8">
        <f>SUMIFS('Recommended Lookup'!$F$5:$F$19,'Recommended Lookup'!$A$5:$A$19,$F15,'Recommended Lookup'!$C$5:$C$19,$G15)</f>
        <v/>
      </c>
      <c r="M15" s="10">
        <f>ROUND($I15*J15,0)</f>
        <v/>
      </c>
      <c r="N15" s="10">
        <f>ROUND($I15*K15,0)</f>
        <v/>
      </c>
      <c r="O15" s="10">
        <f>ROUND($I15*L15,0)</f>
        <v/>
      </c>
      <c r="P15" s="10">
        <f>SUM(M15:O15)</f>
        <v/>
      </c>
      <c r="Q15" s="10" t="n">
        <v>0</v>
      </c>
      <c r="R15" s="10" t="n">
        <v>0</v>
      </c>
      <c r="S15" s="10" t="n">
        <v>7</v>
      </c>
      <c r="T15" s="10">
        <f>SUM(Q15:S15)</f>
        <v/>
      </c>
      <c r="U15" s="10">
        <f>P15-T15</f>
        <v/>
      </c>
    </row>
    <row r="16">
      <c r="A16" s="18" t="inlineStr">
        <is>
          <t>BA4218</t>
        </is>
      </c>
      <c r="B16" s="18" t="inlineStr">
        <is>
          <t>10:42</t>
        </is>
      </c>
      <c r="C16" s="18" t="inlineStr">
        <is>
          <t>LAX - USA</t>
        </is>
      </c>
      <c r="D16" s="18" t="inlineStr">
        <is>
          <t>North America</t>
        </is>
      </c>
      <c r="E16" s="18" t="inlineStr">
        <is>
          <t>Long-haul</t>
        </is>
      </c>
      <c r="F16" s="18" t="inlineStr">
        <is>
          <t>North America</t>
        </is>
      </c>
      <c r="G16" s="18" t="inlineStr">
        <is>
          <t>Midday</t>
        </is>
      </c>
      <c r="H16" s="15" t="n">
        <v>256</v>
      </c>
      <c r="I16" s="15" t="n">
        <v>218</v>
      </c>
      <c r="J16" s="13">
        <f>SUMIFS('Recommended Lookup'!$D$5:$D$19,'Recommended Lookup'!$A$5:$A$19,$F16,'Recommended Lookup'!$C$5:$C$19,$G16)</f>
        <v/>
      </c>
      <c r="K16" s="13">
        <f>SUMIFS('Recommended Lookup'!$E$5:$E$19,'Recommended Lookup'!$A$5:$A$19,$F16,'Recommended Lookup'!$C$5:$C$19,$G16)</f>
        <v/>
      </c>
      <c r="L16" s="13">
        <f>SUMIFS('Recommended Lookup'!$F$5:$F$19,'Recommended Lookup'!$A$5:$A$19,$F16,'Recommended Lookup'!$C$5:$C$19,$G16)</f>
        <v/>
      </c>
      <c r="M16" s="15">
        <f>ROUND($I16*J16,0)</f>
        <v/>
      </c>
      <c r="N16" s="15">
        <f>ROUND($I16*K16,0)</f>
        <v/>
      </c>
      <c r="O16" s="15">
        <f>ROUND($I16*L16,0)</f>
        <v/>
      </c>
      <c r="P16" s="15">
        <f>SUM(M16:O16)</f>
        <v/>
      </c>
      <c r="Q16" s="15" t="n">
        <v>0</v>
      </c>
      <c r="R16" s="15" t="n">
        <v>5</v>
      </c>
      <c r="S16" s="15" t="n">
        <v>23</v>
      </c>
      <c r="T16" s="15">
        <f>SUM(Q16:S16)</f>
        <v/>
      </c>
      <c r="U16" s="15">
        <f>P16-T16</f>
        <v/>
      </c>
    </row>
    <row r="17">
      <c r="A17" s="17" t="inlineStr">
        <is>
          <t>BA1148</t>
        </is>
      </c>
      <c r="B17" s="17" t="inlineStr">
        <is>
          <t>10:49</t>
        </is>
      </c>
      <c r="C17" s="17" t="inlineStr">
        <is>
          <t>BCN - Spain</t>
        </is>
      </c>
      <c r="D17" s="17" t="inlineStr">
        <is>
          <t>Europe</t>
        </is>
      </c>
      <c r="E17" s="17" t="inlineStr">
        <is>
          <t>Short-haul</t>
        </is>
      </c>
      <c r="F17" s="17" t="inlineStr">
        <is>
          <t>Europe &amp; Domestic</t>
        </is>
      </c>
      <c r="G17" s="17" t="inlineStr">
        <is>
          <t>Midday</t>
        </is>
      </c>
      <c r="H17" s="10" t="n">
        <v>180</v>
      </c>
      <c r="I17" s="10" t="n">
        <v>153</v>
      </c>
      <c r="J17" s="8">
        <f>SUMIFS('Recommended Lookup'!$D$5:$D$19,'Recommended Lookup'!$A$5:$A$19,$F17,'Recommended Lookup'!$C$5:$C$19,$G17)</f>
        <v/>
      </c>
      <c r="K17" s="8">
        <f>SUMIFS('Recommended Lookup'!$E$5:$E$19,'Recommended Lookup'!$A$5:$A$19,$F17,'Recommended Lookup'!$C$5:$C$19,$G17)</f>
        <v/>
      </c>
      <c r="L17" s="8">
        <f>SUMIFS('Recommended Lookup'!$F$5:$F$19,'Recommended Lookup'!$A$5:$A$19,$F17,'Recommended Lookup'!$C$5:$C$19,$G17)</f>
        <v/>
      </c>
      <c r="M17" s="10">
        <f>ROUND($I17*J17,0)</f>
        <v/>
      </c>
      <c r="N17" s="10">
        <f>ROUND($I17*K17,0)</f>
        <v/>
      </c>
      <c r="O17" s="10">
        <f>ROUND($I17*L17,0)</f>
        <v/>
      </c>
      <c r="P17" s="10">
        <f>SUM(M17:O17)</f>
        <v/>
      </c>
      <c r="Q17" s="10" t="n">
        <v>2</v>
      </c>
      <c r="R17" s="10" t="n">
        <v>0</v>
      </c>
      <c r="S17" s="10" t="n">
        <v>0</v>
      </c>
      <c r="T17" s="10">
        <f>SUM(Q17:S17)</f>
        <v/>
      </c>
      <c r="U17" s="10">
        <f>P17-T17</f>
        <v/>
      </c>
    </row>
    <row r="18">
      <c r="A18" s="18" t="inlineStr">
        <is>
          <t>BA9897</t>
        </is>
      </c>
      <c r="B18" s="18" t="inlineStr">
        <is>
          <t>11:04</t>
        </is>
      </c>
      <c r="C18" s="18" t="inlineStr">
        <is>
          <t>MUC - Germany</t>
        </is>
      </c>
      <c r="D18" s="18" t="inlineStr">
        <is>
          <t>Europe</t>
        </is>
      </c>
      <c r="E18" s="18" t="inlineStr">
        <is>
          <t>Short-haul</t>
        </is>
      </c>
      <c r="F18" s="18" t="inlineStr">
        <is>
          <t>Europe &amp; Domestic</t>
        </is>
      </c>
      <c r="G18" s="18" t="inlineStr">
        <is>
          <t>Midday</t>
        </is>
      </c>
      <c r="H18" s="15" t="n">
        <v>180</v>
      </c>
      <c r="I18" s="15" t="n">
        <v>153</v>
      </c>
      <c r="J18" s="13">
        <f>SUMIFS('Recommended Lookup'!$D$5:$D$19,'Recommended Lookup'!$A$5:$A$19,$F18,'Recommended Lookup'!$C$5:$C$19,$G18)</f>
        <v/>
      </c>
      <c r="K18" s="13">
        <f>SUMIFS('Recommended Lookup'!$E$5:$E$19,'Recommended Lookup'!$A$5:$A$19,$F18,'Recommended Lookup'!$C$5:$C$19,$G18)</f>
        <v/>
      </c>
      <c r="L18" s="13">
        <f>SUMIFS('Recommended Lookup'!$F$5:$F$19,'Recommended Lookup'!$A$5:$A$19,$F18,'Recommended Lookup'!$C$5:$C$19,$G18)</f>
        <v/>
      </c>
      <c r="M18" s="15">
        <f>ROUND($I18*J18,0)</f>
        <v/>
      </c>
      <c r="N18" s="15">
        <f>ROUND($I18*K18,0)</f>
        <v/>
      </c>
      <c r="O18" s="15">
        <f>ROUND($I18*L18,0)</f>
        <v/>
      </c>
      <c r="P18" s="15">
        <f>SUM(M18:O18)</f>
        <v/>
      </c>
      <c r="Q18" s="15" t="n">
        <v>2</v>
      </c>
      <c r="R18" s="15" t="n">
        <v>8</v>
      </c>
      <c r="S18" s="15" t="n">
        <v>31</v>
      </c>
      <c r="T18" s="15">
        <f>SUM(Q18:S18)</f>
        <v/>
      </c>
      <c r="U18" s="15">
        <f>P18-T18</f>
        <v/>
      </c>
    </row>
    <row r="19">
      <c r="A19" s="17" t="inlineStr">
        <is>
          <t>BA3567</t>
        </is>
      </c>
      <c r="B19" s="17" t="inlineStr">
        <is>
          <t>11:15</t>
        </is>
      </c>
      <c r="C19" s="17" t="inlineStr">
        <is>
          <t>CDG - France</t>
        </is>
      </c>
      <c r="D19" s="17" t="inlineStr">
        <is>
          <t>Europe</t>
        </is>
      </c>
      <c r="E19" s="17" t="inlineStr">
        <is>
          <t>Short-haul</t>
        </is>
      </c>
      <c r="F19" s="17" t="inlineStr">
        <is>
          <t>Europe &amp; Domestic</t>
        </is>
      </c>
      <c r="G19" s="17" t="inlineStr">
        <is>
          <t>Midday</t>
        </is>
      </c>
      <c r="H19" s="10" t="n">
        <v>180</v>
      </c>
      <c r="I19" s="10" t="n">
        <v>153</v>
      </c>
      <c r="J19" s="8">
        <f>SUMIFS('Recommended Lookup'!$D$5:$D$19,'Recommended Lookup'!$A$5:$A$19,$F19,'Recommended Lookup'!$C$5:$C$19,$G19)</f>
        <v/>
      </c>
      <c r="K19" s="8">
        <f>SUMIFS('Recommended Lookup'!$E$5:$E$19,'Recommended Lookup'!$A$5:$A$19,$F19,'Recommended Lookup'!$C$5:$C$19,$G19)</f>
        <v/>
      </c>
      <c r="L19" s="8">
        <f>SUMIFS('Recommended Lookup'!$F$5:$F$19,'Recommended Lookup'!$A$5:$A$19,$F19,'Recommended Lookup'!$C$5:$C$19,$G19)</f>
        <v/>
      </c>
      <c r="M19" s="10">
        <f>ROUND($I19*J19,0)</f>
        <v/>
      </c>
      <c r="N19" s="10">
        <f>ROUND($I19*K19,0)</f>
        <v/>
      </c>
      <c r="O19" s="10">
        <f>ROUND($I19*L19,0)</f>
        <v/>
      </c>
      <c r="P19" s="10">
        <f>SUM(M19:O19)</f>
        <v/>
      </c>
      <c r="Q19" s="10" t="n">
        <v>0</v>
      </c>
      <c r="R19" s="10" t="n">
        <v>9</v>
      </c>
      <c r="S19" s="10" t="n">
        <v>33</v>
      </c>
      <c r="T19" s="10">
        <f>SUM(Q19:S19)</f>
        <v/>
      </c>
      <c r="U19" s="10">
        <f>P19-T19</f>
        <v/>
      </c>
    </row>
    <row r="20">
      <c r="A20" s="18" t="inlineStr">
        <is>
          <t>BA3138</t>
        </is>
      </c>
      <c r="B20" s="18" t="inlineStr">
        <is>
          <t>11:16</t>
        </is>
      </c>
      <c r="C20" s="18" t="inlineStr">
        <is>
          <t>ORD - USA</t>
        </is>
      </c>
      <c r="D20" s="18" t="inlineStr">
        <is>
          <t>North America</t>
        </is>
      </c>
      <c r="E20" s="18" t="inlineStr">
        <is>
          <t>Long-haul</t>
        </is>
      </c>
      <c r="F20" s="18" t="inlineStr">
        <is>
          <t>North America</t>
        </is>
      </c>
      <c r="G20" s="18" t="inlineStr">
        <is>
          <t>Midday</t>
        </is>
      </c>
      <c r="H20" s="15" t="n">
        <v>272</v>
      </c>
      <c r="I20" s="15" t="n">
        <v>231</v>
      </c>
      <c r="J20" s="13">
        <f>SUMIFS('Recommended Lookup'!$D$5:$D$19,'Recommended Lookup'!$A$5:$A$19,$F20,'Recommended Lookup'!$C$5:$C$19,$G20)</f>
        <v/>
      </c>
      <c r="K20" s="13">
        <f>SUMIFS('Recommended Lookup'!$E$5:$E$19,'Recommended Lookup'!$A$5:$A$19,$F20,'Recommended Lookup'!$C$5:$C$19,$G20)</f>
        <v/>
      </c>
      <c r="L20" s="13">
        <f>SUMIFS('Recommended Lookup'!$F$5:$F$19,'Recommended Lookup'!$A$5:$A$19,$F20,'Recommended Lookup'!$C$5:$C$19,$G20)</f>
        <v/>
      </c>
      <c r="M20" s="15">
        <f>ROUND($I20*J20,0)</f>
        <v/>
      </c>
      <c r="N20" s="15">
        <f>ROUND($I20*K20,0)</f>
        <v/>
      </c>
      <c r="O20" s="15">
        <f>ROUND($I20*L20,0)</f>
        <v/>
      </c>
      <c r="P20" s="15">
        <f>SUM(M20:O20)</f>
        <v/>
      </c>
      <c r="Q20" s="15" t="n">
        <v>0</v>
      </c>
      <c r="R20" s="15" t="n">
        <v>8</v>
      </c>
      <c r="S20" s="15" t="n">
        <v>31</v>
      </c>
      <c r="T20" s="15">
        <f>SUM(Q20:S20)</f>
        <v/>
      </c>
      <c r="U20" s="15">
        <f>P20-T20</f>
        <v/>
      </c>
    </row>
    <row r="21">
      <c r="A21" s="17" t="inlineStr">
        <is>
          <t>BA4687</t>
        </is>
      </c>
      <c r="B21" s="17" t="inlineStr">
        <is>
          <t>11:22</t>
        </is>
      </c>
      <c r="C21" s="17" t="inlineStr">
        <is>
          <t>MUC - Germany</t>
        </is>
      </c>
      <c r="D21" s="17" t="inlineStr">
        <is>
          <t>Europe</t>
        </is>
      </c>
      <c r="E21" s="17" t="inlineStr">
        <is>
          <t>Short-haul</t>
        </is>
      </c>
      <c r="F21" s="17" t="inlineStr">
        <is>
          <t>Europe &amp; Domestic</t>
        </is>
      </c>
      <c r="G21" s="17" t="inlineStr">
        <is>
          <t>Midday</t>
        </is>
      </c>
      <c r="H21" s="10" t="n">
        <v>180</v>
      </c>
      <c r="I21" s="10" t="n">
        <v>153</v>
      </c>
      <c r="J21" s="8">
        <f>SUMIFS('Recommended Lookup'!$D$5:$D$19,'Recommended Lookup'!$A$5:$A$19,$F21,'Recommended Lookup'!$C$5:$C$19,$G21)</f>
        <v/>
      </c>
      <c r="K21" s="8">
        <f>SUMIFS('Recommended Lookup'!$E$5:$E$19,'Recommended Lookup'!$A$5:$A$19,$F21,'Recommended Lookup'!$C$5:$C$19,$G21)</f>
        <v/>
      </c>
      <c r="L21" s="8">
        <f>SUMIFS('Recommended Lookup'!$F$5:$F$19,'Recommended Lookup'!$A$5:$A$19,$F21,'Recommended Lookup'!$C$5:$C$19,$G21)</f>
        <v/>
      </c>
      <c r="M21" s="10">
        <f>ROUND($I21*J21,0)</f>
        <v/>
      </c>
      <c r="N21" s="10">
        <f>ROUND($I21*K21,0)</f>
        <v/>
      </c>
      <c r="O21" s="10">
        <f>ROUND($I21*L21,0)</f>
        <v/>
      </c>
      <c r="P21" s="10">
        <f>SUM(M21:O21)</f>
        <v/>
      </c>
      <c r="Q21" s="10" t="n">
        <v>0</v>
      </c>
      <c r="R21" s="10" t="n">
        <v>9</v>
      </c>
      <c r="S21" s="10" t="n">
        <v>34</v>
      </c>
      <c r="T21" s="10">
        <f>SUM(Q21:S21)</f>
        <v/>
      </c>
      <c r="U21" s="10">
        <f>P21-T21</f>
        <v/>
      </c>
    </row>
    <row r="22">
      <c r="A22" s="18" t="inlineStr">
        <is>
          <t>BA4358</t>
        </is>
      </c>
      <c r="B22" s="18" t="inlineStr">
        <is>
          <t>11:28</t>
        </is>
      </c>
      <c r="C22" s="18" t="inlineStr">
        <is>
          <t>MAD - Spain</t>
        </is>
      </c>
      <c r="D22" s="18" t="inlineStr">
        <is>
          <t>Europe</t>
        </is>
      </c>
      <c r="E22" s="18" t="inlineStr">
        <is>
          <t>Short-haul</t>
        </is>
      </c>
      <c r="F22" s="18" t="inlineStr">
        <is>
          <t>Europe &amp; Domestic</t>
        </is>
      </c>
      <c r="G22" s="18" t="inlineStr">
        <is>
          <t>Midday</t>
        </is>
      </c>
      <c r="H22" s="15" t="n">
        <v>180</v>
      </c>
      <c r="I22" s="15" t="n">
        <v>153</v>
      </c>
      <c r="J22" s="13">
        <f>SUMIFS('Recommended Lookup'!$D$5:$D$19,'Recommended Lookup'!$A$5:$A$19,$F22,'Recommended Lookup'!$C$5:$C$19,$G22)</f>
        <v/>
      </c>
      <c r="K22" s="13">
        <f>SUMIFS('Recommended Lookup'!$E$5:$E$19,'Recommended Lookup'!$A$5:$A$19,$F22,'Recommended Lookup'!$C$5:$C$19,$G22)</f>
        <v/>
      </c>
      <c r="L22" s="13">
        <f>SUMIFS('Recommended Lookup'!$F$5:$F$19,'Recommended Lookup'!$A$5:$A$19,$F22,'Recommended Lookup'!$C$5:$C$19,$G22)</f>
        <v/>
      </c>
      <c r="M22" s="15">
        <f>ROUND($I22*J22,0)</f>
        <v/>
      </c>
      <c r="N22" s="15">
        <f>ROUND($I22*K22,0)</f>
        <v/>
      </c>
      <c r="O22" s="15">
        <f>ROUND($I22*L22,0)</f>
        <v/>
      </c>
      <c r="P22" s="15">
        <f>SUM(M22:O22)</f>
        <v/>
      </c>
      <c r="Q22" s="15" t="n">
        <v>1</v>
      </c>
      <c r="R22" s="15" t="n">
        <v>10</v>
      </c>
      <c r="S22" s="15" t="n">
        <v>35</v>
      </c>
      <c r="T22" s="15">
        <f>SUM(Q22:S22)</f>
        <v/>
      </c>
      <c r="U22" s="15">
        <f>P22-T22</f>
        <v/>
      </c>
    </row>
    <row r="23">
      <c r="A23" s="17" t="inlineStr">
        <is>
          <t>BA9903</t>
        </is>
      </c>
      <c r="B23" s="17" t="inlineStr">
        <is>
          <t>11:33</t>
        </is>
      </c>
      <c r="C23" s="17" t="inlineStr">
        <is>
          <t>HND - Japan</t>
        </is>
      </c>
      <c r="D23" s="17" t="inlineStr">
        <is>
          <t>Asia</t>
        </is>
      </c>
      <c r="E23" s="17" t="inlineStr">
        <is>
          <t>Long-haul</t>
        </is>
      </c>
      <c r="F23" s="17" t="inlineStr">
        <is>
          <t>Asia &amp; Oceania</t>
        </is>
      </c>
      <c r="G23" s="17" t="inlineStr">
        <is>
          <t>Midday</t>
        </is>
      </c>
      <c r="H23" s="10" t="n">
        <v>272</v>
      </c>
      <c r="I23" s="10" t="n">
        <v>231</v>
      </c>
      <c r="J23" s="8">
        <f>SUMIFS('Recommended Lookup'!$D$5:$D$19,'Recommended Lookup'!$A$5:$A$19,$F23,'Recommended Lookup'!$C$5:$C$19,$G23)</f>
        <v/>
      </c>
      <c r="K23" s="8">
        <f>SUMIFS('Recommended Lookup'!$E$5:$E$19,'Recommended Lookup'!$A$5:$A$19,$F23,'Recommended Lookup'!$C$5:$C$19,$G23)</f>
        <v/>
      </c>
      <c r="L23" s="8">
        <f>SUMIFS('Recommended Lookup'!$F$5:$F$19,'Recommended Lookup'!$A$5:$A$19,$F23,'Recommended Lookup'!$C$5:$C$19,$G23)</f>
        <v/>
      </c>
      <c r="M23" s="10">
        <f>ROUND($I23*J23,0)</f>
        <v/>
      </c>
      <c r="N23" s="10">
        <f>ROUND($I23*K23,0)</f>
        <v/>
      </c>
      <c r="O23" s="10">
        <f>ROUND($I23*L23,0)</f>
        <v/>
      </c>
      <c r="P23" s="10">
        <f>SUM(M23:O23)</f>
        <v/>
      </c>
      <c r="Q23" s="10" t="n">
        <v>0</v>
      </c>
      <c r="R23" s="10" t="n">
        <v>15</v>
      </c>
      <c r="S23" s="10" t="n">
        <v>50</v>
      </c>
      <c r="T23" s="10">
        <f>SUM(Q23:S23)</f>
        <v/>
      </c>
      <c r="U23" s="10">
        <f>P23-T23</f>
        <v/>
      </c>
    </row>
    <row r="24">
      <c r="A24" s="18" t="inlineStr">
        <is>
          <t>BA6166</t>
        </is>
      </c>
      <c r="B24" s="18" t="inlineStr">
        <is>
          <t>12:05</t>
        </is>
      </c>
      <c r="C24" s="18" t="inlineStr">
        <is>
          <t>AMS - Netherlands</t>
        </is>
      </c>
      <c r="D24" s="18" t="inlineStr">
        <is>
          <t>Europe</t>
        </is>
      </c>
      <c r="E24" s="18" t="inlineStr">
        <is>
          <t>Short-haul</t>
        </is>
      </c>
      <c r="F24" s="18" t="inlineStr">
        <is>
          <t>Europe &amp; Domestic</t>
        </is>
      </c>
      <c r="G24" s="18" t="inlineStr">
        <is>
          <t>Midday</t>
        </is>
      </c>
      <c r="H24" s="15" t="n">
        <v>180</v>
      </c>
      <c r="I24" s="15" t="n">
        <v>153</v>
      </c>
      <c r="J24" s="13">
        <f>SUMIFS('Recommended Lookup'!$D$5:$D$19,'Recommended Lookup'!$A$5:$A$19,$F24,'Recommended Lookup'!$C$5:$C$19,$G24)</f>
        <v/>
      </c>
      <c r="K24" s="13">
        <f>SUMIFS('Recommended Lookup'!$E$5:$E$19,'Recommended Lookup'!$A$5:$A$19,$F24,'Recommended Lookup'!$C$5:$C$19,$G24)</f>
        <v/>
      </c>
      <c r="L24" s="13">
        <f>SUMIFS('Recommended Lookup'!$F$5:$F$19,'Recommended Lookup'!$A$5:$A$19,$F24,'Recommended Lookup'!$C$5:$C$19,$G24)</f>
        <v/>
      </c>
      <c r="M24" s="15">
        <f>ROUND($I24*J24,0)</f>
        <v/>
      </c>
      <c r="N24" s="15">
        <f>ROUND($I24*K24,0)</f>
        <v/>
      </c>
      <c r="O24" s="15">
        <f>ROUND($I24*L24,0)</f>
        <v/>
      </c>
      <c r="P24" s="15">
        <f>SUM(M24:O24)</f>
        <v/>
      </c>
      <c r="Q24" s="15" t="n">
        <v>0</v>
      </c>
      <c r="R24" s="15" t="n">
        <v>8</v>
      </c>
      <c r="S24" s="15" t="n">
        <v>30</v>
      </c>
      <c r="T24" s="15">
        <f>SUM(Q24:S24)</f>
        <v/>
      </c>
      <c r="U24" s="15">
        <f>P24-T24</f>
        <v/>
      </c>
    </row>
    <row r="25">
      <c r="A25" s="17" t="inlineStr">
        <is>
          <t>BA4012</t>
        </is>
      </c>
      <c r="B25" s="17" t="inlineStr">
        <is>
          <t>12:33</t>
        </is>
      </c>
      <c r="C25" s="17" t="inlineStr">
        <is>
          <t>DFW - USA</t>
        </is>
      </c>
      <c r="D25" s="17" t="inlineStr">
        <is>
          <t>North America</t>
        </is>
      </c>
      <c r="E25" s="17" t="inlineStr">
        <is>
          <t>Long-haul</t>
        </is>
      </c>
      <c r="F25" s="17" t="inlineStr">
        <is>
          <t>North America</t>
        </is>
      </c>
      <c r="G25" s="17" t="inlineStr">
        <is>
          <t>Midday</t>
        </is>
      </c>
      <c r="H25" s="10" t="n">
        <v>204</v>
      </c>
      <c r="I25" s="10" t="n">
        <v>173</v>
      </c>
      <c r="J25" s="8">
        <f>SUMIFS('Recommended Lookup'!$D$5:$D$19,'Recommended Lookup'!$A$5:$A$19,$F25,'Recommended Lookup'!$C$5:$C$19,$G25)</f>
        <v/>
      </c>
      <c r="K25" s="8">
        <f>SUMIFS('Recommended Lookup'!$E$5:$E$19,'Recommended Lookup'!$A$5:$A$19,$F25,'Recommended Lookup'!$C$5:$C$19,$G25)</f>
        <v/>
      </c>
      <c r="L25" s="8">
        <f>SUMIFS('Recommended Lookup'!$F$5:$F$19,'Recommended Lookup'!$A$5:$A$19,$F25,'Recommended Lookup'!$C$5:$C$19,$G25)</f>
        <v/>
      </c>
      <c r="M25" s="10">
        <f>ROUND($I25*J25,0)</f>
        <v/>
      </c>
      <c r="N25" s="10">
        <f>ROUND($I25*K25,0)</f>
        <v/>
      </c>
      <c r="O25" s="10">
        <f>ROUND($I25*L25,0)</f>
        <v/>
      </c>
      <c r="P25" s="10">
        <f>SUM(M25:O25)</f>
        <v/>
      </c>
      <c r="Q25" s="10" t="n">
        <v>1</v>
      </c>
      <c r="R25" s="10" t="n">
        <v>7</v>
      </c>
      <c r="S25" s="10" t="n">
        <v>29</v>
      </c>
      <c r="T25" s="10">
        <f>SUM(Q25:S25)</f>
        <v/>
      </c>
      <c r="U25" s="10">
        <f>P25-T25</f>
        <v/>
      </c>
    </row>
    <row r="26">
      <c r="A26" s="18" t="inlineStr">
        <is>
          <t>BA6747</t>
        </is>
      </c>
      <c r="B26" s="18" t="inlineStr">
        <is>
          <t>12:54</t>
        </is>
      </c>
      <c r="C26" s="18" t="inlineStr">
        <is>
          <t>JFK - USA</t>
        </is>
      </c>
      <c r="D26" s="18" t="inlineStr">
        <is>
          <t>North America</t>
        </is>
      </c>
      <c r="E26" s="18" t="inlineStr">
        <is>
          <t>Long-haul</t>
        </is>
      </c>
      <c r="F26" s="18" t="inlineStr">
        <is>
          <t>North America</t>
        </is>
      </c>
      <c r="G26" s="18" t="inlineStr">
        <is>
          <t>Midday</t>
        </is>
      </c>
      <c r="H26" s="15" t="n">
        <v>216</v>
      </c>
      <c r="I26" s="15" t="n">
        <v>184</v>
      </c>
      <c r="J26" s="13">
        <f>SUMIFS('Recommended Lookup'!$D$5:$D$19,'Recommended Lookup'!$A$5:$A$19,$F26,'Recommended Lookup'!$C$5:$C$19,$G26)</f>
        <v/>
      </c>
      <c r="K26" s="13">
        <f>SUMIFS('Recommended Lookup'!$E$5:$E$19,'Recommended Lookup'!$A$5:$A$19,$F26,'Recommended Lookup'!$C$5:$C$19,$G26)</f>
        <v/>
      </c>
      <c r="L26" s="13">
        <f>SUMIFS('Recommended Lookup'!$F$5:$F$19,'Recommended Lookup'!$A$5:$A$19,$F26,'Recommended Lookup'!$C$5:$C$19,$G26)</f>
        <v/>
      </c>
      <c r="M26" s="15">
        <f>ROUND($I26*J26,0)</f>
        <v/>
      </c>
      <c r="N26" s="15">
        <f>ROUND($I26*K26,0)</f>
        <v/>
      </c>
      <c r="O26" s="15">
        <f>ROUND($I26*L26,0)</f>
        <v/>
      </c>
      <c r="P26" s="15">
        <f>SUM(M26:O26)</f>
        <v/>
      </c>
      <c r="Q26" s="15" t="n">
        <v>0</v>
      </c>
      <c r="R26" s="15" t="n">
        <v>7</v>
      </c>
      <c r="S26" s="15" t="n">
        <v>27</v>
      </c>
      <c r="T26" s="15">
        <f>SUM(Q26:S26)</f>
        <v/>
      </c>
      <c r="U26" s="15">
        <f>P26-T26</f>
        <v/>
      </c>
    </row>
    <row r="27">
      <c r="A27" s="17" t="inlineStr">
        <is>
          <t>BA1079</t>
        </is>
      </c>
      <c r="B27" s="17" t="inlineStr">
        <is>
          <t>13:22</t>
        </is>
      </c>
      <c r="C27" s="17" t="inlineStr">
        <is>
          <t>DFW - USA</t>
        </is>
      </c>
      <c r="D27" s="17" t="inlineStr">
        <is>
          <t>North America</t>
        </is>
      </c>
      <c r="E27" s="17" t="inlineStr">
        <is>
          <t>Long-haul</t>
        </is>
      </c>
      <c r="F27" s="17" t="inlineStr">
        <is>
          <t>North America</t>
        </is>
      </c>
      <c r="G27" s="17" t="inlineStr">
        <is>
          <t>Midday</t>
        </is>
      </c>
      <c r="H27" s="10" t="n">
        <v>204</v>
      </c>
      <c r="I27" s="10" t="n">
        <v>173</v>
      </c>
      <c r="J27" s="8">
        <f>SUMIFS('Recommended Lookup'!$D$5:$D$19,'Recommended Lookup'!$A$5:$A$19,$F27,'Recommended Lookup'!$C$5:$C$19,$G27)</f>
        <v/>
      </c>
      <c r="K27" s="8">
        <f>SUMIFS('Recommended Lookup'!$E$5:$E$19,'Recommended Lookup'!$A$5:$A$19,$F27,'Recommended Lookup'!$C$5:$C$19,$G27)</f>
        <v/>
      </c>
      <c r="L27" s="8">
        <f>SUMIFS('Recommended Lookup'!$F$5:$F$19,'Recommended Lookup'!$A$5:$A$19,$F27,'Recommended Lookup'!$C$5:$C$19,$G27)</f>
        <v/>
      </c>
      <c r="M27" s="10">
        <f>ROUND($I27*J27,0)</f>
        <v/>
      </c>
      <c r="N27" s="10">
        <f>ROUND($I27*K27,0)</f>
        <v/>
      </c>
      <c r="O27" s="10">
        <f>ROUND($I27*L27,0)</f>
        <v/>
      </c>
      <c r="P27" s="10">
        <f>SUM(M27:O27)</f>
        <v/>
      </c>
      <c r="Q27" s="10" t="n">
        <v>0</v>
      </c>
      <c r="R27" s="10" t="n">
        <v>12</v>
      </c>
      <c r="S27" s="10" t="n">
        <v>42</v>
      </c>
      <c r="T27" s="10">
        <f>SUM(Q27:S27)</f>
        <v/>
      </c>
      <c r="U27" s="10">
        <f>P27-T27</f>
        <v/>
      </c>
    </row>
    <row r="28">
      <c r="A28" s="18" t="inlineStr">
        <is>
          <t>BA1474</t>
        </is>
      </c>
      <c r="B28" s="18" t="inlineStr">
        <is>
          <t>13:24</t>
        </is>
      </c>
      <c r="C28" s="18" t="inlineStr">
        <is>
          <t>JFK - USA</t>
        </is>
      </c>
      <c r="D28" s="18" t="inlineStr">
        <is>
          <t>North America</t>
        </is>
      </c>
      <c r="E28" s="18" t="inlineStr">
        <is>
          <t>Long-haul</t>
        </is>
      </c>
      <c r="F28" s="18" t="inlineStr">
        <is>
          <t>North America</t>
        </is>
      </c>
      <c r="G28" s="18" t="inlineStr">
        <is>
          <t>Midday</t>
        </is>
      </c>
      <c r="H28" s="15" t="n">
        <v>331</v>
      </c>
      <c r="I28" s="15" t="n">
        <v>281</v>
      </c>
      <c r="J28" s="13">
        <f>SUMIFS('Recommended Lookup'!$D$5:$D$19,'Recommended Lookup'!$A$5:$A$19,$F28,'Recommended Lookup'!$C$5:$C$19,$G28)</f>
        <v/>
      </c>
      <c r="K28" s="13">
        <f>SUMIFS('Recommended Lookup'!$E$5:$E$19,'Recommended Lookup'!$A$5:$A$19,$F28,'Recommended Lookup'!$C$5:$C$19,$G28)</f>
        <v/>
      </c>
      <c r="L28" s="13">
        <f>SUMIFS('Recommended Lookup'!$F$5:$F$19,'Recommended Lookup'!$A$5:$A$19,$F28,'Recommended Lookup'!$C$5:$C$19,$G28)</f>
        <v/>
      </c>
      <c r="M28" s="15">
        <f>ROUND($I28*J28,0)</f>
        <v/>
      </c>
      <c r="N28" s="15">
        <f>ROUND($I28*K28,0)</f>
        <v/>
      </c>
      <c r="O28" s="15">
        <f>ROUND($I28*L28,0)</f>
        <v/>
      </c>
      <c r="P28" s="15">
        <f>SUM(M28:O28)</f>
        <v/>
      </c>
      <c r="Q28" s="15" t="n">
        <v>0</v>
      </c>
      <c r="R28" s="15" t="n">
        <v>0</v>
      </c>
      <c r="S28" s="15" t="n">
        <v>1</v>
      </c>
      <c r="T28" s="15">
        <f>SUM(Q28:S28)</f>
        <v/>
      </c>
      <c r="U28" s="15">
        <f>P28-T28</f>
        <v/>
      </c>
    </row>
    <row r="29">
      <c r="A29" s="17" t="inlineStr">
        <is>
          <t>BA5603</t>
        </is>
      </c>
      <c r="B29" s="17" t="inlineStr">
        <is>
          <t>13:33</t>
        </is>
      </c>
      <c r="C29" s="17" t="inlineStr">
        <is>
          <t>MAD - Spain</t>
        </is>
      </c>
      <c r="D29" s="17" t="inlineStr">
        <is>
          <t>Europe</t>
        </is>
      </c>
      <c r="E29" s="17" t="inlineStr">
        <is>
          <t>Short-haul</t>
        </is>
      </c>
      <c r="F29" s="17" t="inlineStr">
        <is>
          <t>Europe &amp; Domestic</t>
        </is>
      </c>
      <c r="G29" s="17" t="inlineStr">
        <is>
          <t>Midday</t>
        </is>
      </c>
      <c r="H29" s="10" t="n">
        <v>180</v>
      </c>
      <c r="I29" s="10" t="n">
        <v>153</v>
      </c>
      <c r="J29" s="8">
        <f>SUMIFS('Recommended Lookup'!$D$5:$D$19,'Recommended Lookup'!$A$5:$A$19,$F29,'Recommended Lookup'!$C$5:$C$19,$G29)</f>
        <v/>
      </c>
      <c r="K29" s="8">
        <f>SUMIFS('Recommended Lookup'!$E$5:$E$19,'Recommended Lookup'!$A$5:$A$19,$F29,'Recommended Lookup'!$C$5:$C$19,$G29)</f>
        <v/>
      </c>
      <c r="L29" s="8">
        <f>SUMIFS('Recommended Lookup'!$F$5:$F$19,'Recommended Lookup'!$A$5:$A$19,$F29,'Recommended Lookup'!$C$5:$C$19,$G29)</f>
        <v/>
      </c>
      <c r="M29" s="10">
        <f>ROUND($I29*J29,0)</f>
        <v/>
      </c>
      <c r="N29" s="10">
        <f>ROUND($I29*K29,0)</f>
        <v/>
      </c>
      <c r="O29" s="10">
        <f>ROUND($I29*L29,0)</f>
        <v/>
      </c>
      <c r="P29" s="10">
        <f>SUM(M29:O29)</f>
        <v/>
      </c>
      <c r="Q29" s="10" t="n">
        <v>0</v>
      </c>
      <c r="R29" s="10" t="n">
        <v>4</v>
      </c>
      <c r="S29" s="10" t="n">
        <v>18</v>
      </c>
      <c r="T29" s="10">
        <f>SUM(Q29:S29)</f>
        <v/>
      </c>
      <c r="U29" s="10">
        <f>P29-T29</f>
        <v/>
      </c>
    </row>
    <row r="30">
      <c r="A30" s="18" t="inlineStr">
        <is>
          <t>BA7803</t>
        </is>
      </c>
      <c r="B30" s="18" t="inlineStr">
        <is>
          <t>13:48</t>
        </is>
      </c>
      <c r="C30" s="18" t="inlineStr">
        <is>
          <t>MUC - Germany</t>
        </is>
      </c>
      <c r="D30" s="18" t="inlineStr">
        <is>
          <t>Europe</t>
        </is>
      </c>
      <c r="E30" s="18" t="inlineStr">
        <is>
          <t>Short-haul</t>
        </is>
      </c>
      <c r="F30" s="18" t="inlineStr">
        <is>
          <t>Europe &amp; Domestic</t>
        </is>
      </c>
      <c r="G30" s="18" t="inlineStr">
        <is>
          <t>Midday</t>
        </is>
      </c>
      <c r="H30" s="15" t="n">
        <v>180</v>
      </c>
      <c r="I30" s="15" t="n">
        <v>153</v>
      </c>
      <c r="J30" s="13">
        <f>SUMIFS('Recommended Lookup'!$D$5:$D$19,'Recommended Lookup'!$A$5:$A$19,$F30,'Recommended Lookup'!$C$5:$C$19,$G30)</f>
        <v/>
      </c>
      <c r="K30" s="13">
        <f>SUMIFS('Recommended Lookup'!$E$5:$E$19,'Recommended Lookup'!$A$5:$A$19,$F30,'Recommended Lookup'!$C$5:$C$19,$G30)</f>
        <v/>
      </c>
      <c r="L30" s="13">
        <f>SUMIFS('Recommended Lookup'!$F$5:$F$19,'Recommended Lookup'!$A$5:$A$19,$F30,'Recommended Lookup'!$C$5:$C$19,$G30)</f>
        <v/>
      </c>
      <c r="M30" s="15">
        <f>ROUND($I30*J30,0)</f>
        <v/>
      </c>
      <c r="N30" s="15">
        <f>ROUND($I30*K30,0)</f>
        <v/>
      </c>
      <c r="O30" s="15">
        <f>ROUND($I30*L30,0)</f>
        <v/>
      </c>
      <c r="P30" s="15">
        <f>SUM(M30:O30)</f>
        <v/>
      </c>
      <c r="Q30" s="15" t="n">
        <v>1</v>
      </c>
      <c r="R30" s="15" t="n">
        <v>19</v>
      </c>
      <c r="S30" s="15" t="n">
        <v>61</v>
      </c>
      <c r="T30" s="15">
        <f>SUM(Q30:S30)</f>
        <v/>
      </c>
      <c r="U30" s="15">
        <f>P30-T30</f>
        <v/>
      </c>
    </row>
    <row r="31">
      <c r="A31" s="17" t="inlineStr">
        <is>
          <t>BA8676</t>
        </is>
      </c>
      <c r="B31" s="17" t="inlineStr">
        <is>
          <t>14:10</t>
        </is>
      </c>
      <c r="C31" s="17" t="inlineStr">
        <is>
          <t>DFW - USA</t>
        </is>
      </c>
      <c r="D31" s="17" t="inlineStr">
        <is>
          <t>North America</t>
        </is>
      </c>
      <c r="E31" s="17" t="inlineStr">
        <is>
          <t>Long-haul</t>
        </is>
      </c>
      <c r="F31" s="17" t="inlineStr">
        <is>
          <t>North America</t>
        </is>
      </c>
      <c r="G31" s="17" t="inlineStr">
        <is>
          <t>Midday</t>
        </is>
      </c>
      <c r="H31" s="10" t="n">
        <v>204</v>
      </c>
      <c r="I31" s="10" t="n">
        <v>173</v>
      </c>
      <c r="J31" s="8">
        <f>SUMIFS('Recommended Lookup'!$D$5:$D$19,'Recommended Lookup'!$A$5:$A$19,$F31,'Recommended Lookup'!$C$5:$C$19,$G31)</f>
        <v/>
      </c>
      <c r="K31" s="8">
        <f>SUMIFS('Recommended Lookup'!$E$5:$E$19,'Recommended Lookup'!$A$5:$A$19,$F31,'Recommended Lookup'!$C$5:$C$19,$G31)</f>
        <v/>
      </c>
      <c r="L31" s="8">
        <f>SUMIFS('Recommended Lookup'!$F$5:$F$19,'Recommended Lookup'!$A$5:$A$19,$F31,'Recommended Lookup'!$C$5:$C$19,$G31)</f>
        <v/>
      </c>
      <c r="M31" s="10">
        <f>ROUND($I31*J31,0)</f>
        <v/>
      </c>
      <c r="N31" s="10">
        <f>ROUND($I31*K31,0)</f>
        <v/>
      </c>
      <c r="O31" s="10">
        <f>ROUND($I31*L31,0)</f>
        <v/>
      </c>
      <c r="P31" s="10">
        <f>SUM(M31:O31)</f>
        <v/>
      </c>
      <c r="Q31" s="10" t="n">
        <v>0</v>
      </c>
      <c r="R31" s="10" t="n">
        <v>2</v>
      </c>
      <c r="S31" s="10" t="n">
        <v>15</v>
      </c>
      <c r="T31" s="10">
        <f>SUM(Q31:S31)</f>
        <v/>
      </c>
      <c r="U31" s="10">
        <f>P31-T31</f>
        <v/>
      </c>
    </row>
    <row r="32">
      <c r="A32" s="18" t="inlineStr">
        <is>
          <t>BA2839</t>
        </is>
      </c>
      <c r="B32" s="18" t="inlineStr">
        <is>
          <t>14:21</t>
        </is>
      </c>
      <c r="C32" s="18" t="inlineStr">
        <is>
          <t>JFK - USA</t>
        </is>
      </c>
      <c r="D32" s="18" t="inlineStr">
        <is>
          <t>North America</t>
        </is>
      </c>
      <c r="E32" s="18" t="inlineStr">
        <is>
          <t>Long-haul</t>
        </is>
      </c>
      <c r="F32" s="18" t="inlineStr">
        <is>
          <t>North America</t>
        </is>
      </c>
      <c r="G32" s="18" t="inlineStr">
        <is>
          <t>Midday</t>
        </is>
      </c>
      <c r="H32" s="15" t="n">
        <v>332</v>
      </c>
      <c r="I32" s="15" t="n">
        <v>282</v>
      </c>
      <c r="J32" s="13">
        <f>SUMIFS('Recommended Lookup'!$D$5:$D$19,'Recommended Lookup'!$A$5:$A$19,$F32,'Recommended Lookup'!$C$5:$C$19,$G32)</f>
        <v/>
      </c>
      <c r="K32" s="13">
        <f>SUMIFS('Recommended Lookup'!$E$5:$E$19,'Recommended Lookup'!$A$5:$A$19,$F32,'Recommended Lookup'!$C$5:$C$19,$G32)</f>
        <v/>
      </c>
      <c r="L32" s="13">
        <f>SUMIFS('Recommended Lookup'!$F$5:$F$19,'Recommended Lookup'!$A$5:$A$19,$F32,'Recommended Lookup'!$C$5:$C$19,$G32)</f>
        <v/>
      </c>
      <c r="M32" s="15">
        <f>ROUND($I32*J32,0)</f>
        <v/>
      </c>
      <c r="N32" s="15">
        <f>ROUND($I32*K32,0)</f>
        <v/>
      </c>
      <c r="O32" s="15">
        <f>ROUND($I32*L32,0)</f>
        <v/>
      </c>
      <c r="P32" s="15">
        <f>SUM(M32:O32)</f>
        <v/>
      </c>
      <c r="Q32" s="15" t="n">
        <v>0</v>
      </c>
      <c r="R32" s="15" t="n">
        <v>7</v>
      </c>
      <c r="S32" s="15" t="n">
        <v>28</v>
      </c>
      <c r="T32" s="15">
        <f>SUM(Q32:S32)</f>
        <v/>
      </c>
      <c r="U32" s="15">
        <f>P32-T32</f>
        <v/>
      </c>
    </row>
    <row r="33">
      <c r="A33" s="17" t="inlineStr">
        <is>
          <t>BA8995</t>
        </is>
      </c>
      <c r="B33" s="17" t="inlineStr">
        <is>
          <t>16:37</t>
        </is>
      </c>
      <c r="C33" s="17" t="inlineStr">
        <is>
          <t>FRA - Germany</t>
        </is>
      </c>
      <c r="D33" s="17" t="inlineStr">
        <is>
          <t>Europe</t>
        </is>
      </c>
      <c r="E33" s="17" t="inlineStr">
        <is>
          <t>Short-haul</t>
        </is>
      </c>
      <c r="F33" s="17" t="inlineStr">
        <is>
          <t>Europe &amp; Domestic</t>
        </is>
      </c>
      <c r="G33" s="17" t="inlineStr">
        <is>
          <t>Evening</t>
        </is>
      </c>
      <c r="H33" s="10" t="n">
        <v>180</v>
      </c>
      <c r="I33" s="10" t="n">
        <v>153</v>
      </c>
      <c r="J33" s="8">
        <f>SUMIFS('Recommended Lookup'!$D$5:$D$19,'Recommended Lookup'!$A$5:$A$19,$F33,'Recommended Lookup'!$C$5:$C$19,$G33)</f>
        <v/>
      </c>
      <c r="K33" s="8">
        <f>SUMIFS('Recommended Lookup'!$E$5:$E$19,'Recommended Lookup'!$A$5:$A$19,$F33,'Recommended Lookup'!$C$5:$C$19,$G33)</f>
        <v/>
      </c>
      <c r="L33" s="8">
        <f>SUMIFS('Recommended Lookup'!$F$5:$F$19,'Recommended Lookup'!$A$5:$A$19,$F33,'Recommended Lookup'!$C$5:$C$19,$G33)</f>
        <v/>
      </c>
      <c r="M33" s="10">
        <f>ROUND($I33*J33,0)</f>
        <v/>
      </c>
      <c r="N33" s="10">
        <f>ROUND($I33*K33,0)</f>
        <v/>
      </c>
      <c r="O33" s="10">
        <f>ROUND($I33*L33,0)</f>
        <v/>
      </c>
      <c r="P33" s="10">
        <f>SUM(M33:O33)</f>
        <v/>
      </c>
      <c r="Q33" s="10" t="n">
        <v>1</v>
      </c>
      <c r="R33" s="10" t="n">
        <v>5</v>
      </c>
      <c r="S33" s="10" t="n">
        <v>22</v>
      </c>
      <c r="T33" s="10">
        <f>SUM(Q33:S33)</f>
        <v/>
      </c>
      <c r="U33" s="10">
        <f>P33-T33</f>
        <v/>
      </c>
    </row>
    <row r="34">
      <c r="A34" s="18" t="inlineStr">
        <is>
          <t>BA6733</t>
        </is>
      </c>
      <c r="B34" s="18" t="inlineStr">
        <is>
          <t>16:54</t>
        </is>
      </c>
      <c r="C34" s="18" t="inlineStr">
        <is>
          <t>DFW - USA</t>
        </is>
      </c>
      <c r="D34" s="18" t="inlineStr">
        <is>
          <t>North America</t>
        </is>
      </c>
      <c r="E34" s="18" t="inlineStr">
        <is>
          <t>Long-haul</t>
        </is>
      </c>
      <c r="F34" s="18" t="inlineStr">
        <is>
          <t>North America</t>
        </is>
      </c>
      <c r="G34" s="18" t="inlineStr">
        <is>
          <t>Evening</t>
        </is>
      </c>
      <c r="H34" s="15" t="n">
        <v>331</v>
      </c>
      <c r="I34" s="15" t="n">
        <v>281</v>
      </c>
      <c r="J34" s="13">
        <f>SUMIFS('Recommended Lookup'!$D$5:$D$19,'Recommended Lookup'!$A$5:$A$19,$F34,'Recommended Lookup'!$C$5:$C$19,$G34)</f>
        <v/>
      </c>
      <c r="K34" s="13">
        <f>SUMIFS('Recommended Lookup'!$E$5:$E$19,'Recommended Lookup'!$A$5:$A$19,$F34,'Recommended Lookup'!$C$5:$C$19,$G34)</f>
        <v/>
      </c>
      <c r="L34" s="13">
        <f>SUMIFS('Recommended Lookup'!$F$5:$F$19,'Recommended Lookup'!$A$5:$A$19,$F34,'Recommended Lookup'!$C$5:$C$19,$G34)</f>
        <v/>
      </c>
      <c r="M34" s="15">
        <f>ROUND($I34*J34,0)</f>
        <v/>
      </c>
      <c r="N34" s="15">
        <f>ROUND($I34*K34,0)</f>
        <v/>
      </c>
      <c r="O34" s="15">
        <f>ROUND($I34*L34,0)</f>
        <v/>
      </c>
      <c r="P34" s="15">
        <f>SUM(M34:O34)</f>
        <v/>
      </c>
      <c r="Q34" s="15" t="n">
        <v>0</v>
      </c>
      <c r="R34" s="15" t="n">
        <v>20</v>
      </c>
      <c r="S34" s="15" t="n">
        <v>64</v>
      </c>
      <c r="T34" s="15">
        <f>SUM(Q34:S34)</f>
        <v/>
      </c>
      <c r="U34" s="15">
        <f>P34-T34</f>
        <v/>
      </c>
    </row>
    <row r="35">
      <c r="A35" s="17" t="inlineStr">
        <is>
          <t>BA2911</t>
        </is>
      </c>
      <c r="B35" s="17" t="inlineStr">
        <is>
          <t>17:00</t>
        </is>
      </c>
      <c r="C35" s="17" t="inlineStr">
        <is>
          <t>ORD - USA</t>
        </is>
      </c>
      <c r="D35" s="17" t="inlineStr">
        <is>
          <t>North America</t>
        </is>
      </c>
      <c r="E35" s="17" t="inlineStr">
        <is>
          <t>Long-haul</t>
        </is>
      </c>
      <c r="F35" s="17" t="inlineStr">
        <is>
          <t>North America</t>
        </is>
      </c>
      <c r="G35" s="17" t="inlineStr">
        <is>
          <t>Evening</t>
        </is>
      </c>
      <c r="H35" s="10" t="n">
        <v>469</v>
      </c>
      <c r="I35" s="10" t="n">
        <v>399</v>
      </c>
      <c r="J35" s="8">
        <f>SUMIFS('Recommended Lookup'!$D$5:$D$19,'Recommended Lookup'!$A$5:$A$19,$F35,'Recommended Lookup'!$C$5:$C$19,$G35)</f>
        <v/>
      </c>
      <c r="K35" s="8">
        <f>SUMIFS('Recommended Lookup'!$E$5:$E$19,'Recommended Lookup'!$A$5:$A$19,$F35,'Recommended Lookup'!$C$5:$C$19,$G35)</f>
        <v/>
      </c>
      <c r="L35" s="8">
        <f>SUMIFS('Recommended Lookup'!$F$5:$F$19,'Recommended Lookup'!$A$5:$A$19,$F35,'Recommended Lookup'!$C$5:$C$19,$G35)</f>
        <v/>
      </c>
      <c r="M35" s="10">
        <f>ROUND($I35*J35,0)</f>
        <v/>
      </c>
      <c r="N35" s="10">
        <f>ROUND($I35*K35,0)</f>
        <v/>
      </c>
      <c r="O35" s="10">
        <f>ROUND($I35*L35,0)</f>
        <v/>
      </c>
      <c r="P35" s="10">
        <f>SUM(M35:O35)</f>
        <v/>
      </c>
      <c r="Q35" s="10" t="n">
        <v>0</v>
      </c>
      <c r="R35" s="10" t="n">
        <v>11</v>
      </c>
      <c r="S35" s="10" t="n">
        <v>40</v>
      </c>
      <c r="T35" s="10">
        <f>SUM(Q35:S35)</f>
        <v/>
      </c>
      <c r="U35" s="10">
        <f>P35-T35</f>
        <v/>
      </c>
    </row>
    <row r="36">
      <c r="A36" s="18" t="inlineStr">
        <is>
          <t>BA2963</t>
        </is>
      </c>
      <c r="B36" s="18" t="inlineStr">
        <is>
          <t>17:05</t>
        </is>
      </c>
      <c r="C36" s="18" t="inlineStr">
        <is>
          <t>LAX - USA</t>
        </is>
      </c>
      <c r="D36" s="18" t="inlineStr">
        <is>
          <t>North America</t>
        </is>
      </c>
      <c r="E36" s="18" t="inlineStr">
        <is>
          <t>Long-haul</t>
        </is>
      </c>
      <c r="F36" s="18" t="inlineStr">
        <is>
          <t>North America</t>
        </is>
      </c>
      <c r="G36" s="18" t="inlineStr">
        <is>
          <t>Evening</t>
        </is>
      </c>
      <c r="H36" s="15" t="n">
        <v>256</v>
      </c>
      <c r="I36" s="15" t="n">
        <v>218</v>
      </c>
      <c r="J36" s="13">
        <f>SUMIFS('Recommended Lookup'!$D$5:$D$19,'Recommended Lookup'!$A$5:$A$19,$F36,'Recommended Lookup'!$C$5:$C$19,$G36)</f>
        <v/>
      </c>
      <c r="K36" s="13">
        <f>SUMIFS('Recommended Lookup'!$E$5:$E$19,'Recommended Lookup'!$A$5:$A$19,$F36,'Recommended Lookup'!$C$5:$C$19,$G36)</f>
        <v/>
      </c>
      <c r="L36" s="13">
        <f>SUMIFS('Recommended Lookup'!$F$5:$F$19,'Recommended Lookup'!$A$5:$A$19,$F36,'Recommended Lookup'!$C$5:$C$19,$G36)</f>
        <v/>
      </c>
      <c r="M36" s="15">
        <f>ROUND($I36*J36,0)</f>
        <v/>
      </c>
      <c r="N36" s="15">
        <f>ROUND($I36*K36,0)</f>
        <v/>
      </c>
      <c r="O36" s="15">
        <f>ROUND($I36*L36,0)</f>
        <v/>
      </c>
      <c r="P36" s="15">
        <f>SUM(M36:O36)</f>
        <v/>
      </c>
      <c r="Q36" s="15" t="n">
        <v>0</v>
      </c>
      <c r="R36" s="15" t="n">
        <v>2</v>
      </c>
      <c r="S36" s="15" t="n">
        <v>14</v>
      </c>
      <c r="T36" s="15">
        <f>SUM(Q36:S36)</f>
        <v/>
      </c>
      <c r="U36" s="15">
        <f>P36-T36</f>
        <v/>
      </c>
    </row>
    <row r="37">
      <c r="A37" s="17" t="inlineStr">
        <is>
          <t>BA6411</t>
        </is>
      </c>
      <c r="B37" s="17" t="inlineStr">
        <is>
          <t>18:06</t>
        </is>
      </c>
      <c r="C37" s="17" t="inlineStr">
        <is>
          <t>JFK - USA</t>
        </is>
      </c>
      <c r="D37" s="17" t="inlineStr">
        <is>
          <t>North America</t>
        </is>
      </c>
      <c r="E37" s="17" t="inlineStr">
        <is>
          <t>Long-haul</t>
        </is>
      </c>
      <c r="F37" s="17" t="inlineStr">
        <is>
          <t>North America</t>
        </is>
      </c>
      <c r="G37" s="17" t="inlineStr">
        <is>
          <t>Evening</t>
        </is>
      </c>
      <c r="H37" s="10" t="n">
        <v>469</v>
      </c>
      <c r="I37" s="10" t="n">
        <v>399</v>
      </c>
      <c r="J37" s="8">
        <f>SUMIFS('Recommended Lookup'!$D$5:$D$19,'Recommended Lookup'!$A$5:$A$19,$F37,'Recommended Lookup'!$C$5:$C$19,$G37)</f>
        <v/>
      </c>
      <c r="K37" s="8">
        <f>SUMIFS('Recommended Lookup'!$E$5:$E$19,'Recommended Lookup'!$A$5:$A$19,$F37,'Recommended Lookup'!$C$5:$C$19,$G37)</f>
        <v/>
      </c>
      <c r="L37" s="8">
        <f>SUMIFS('Recommended Lookup'!$F$5:$F$19,'Recommended Lookup'!$A$5:$A$19,$F37,'Recommended Lookup'!$C$5:$C$19,$G37)</f>
        <v/>
      </c>
      <c r="M37" s="10">
        <f>ROUND($I37*J37,0)</f>
        <v/>
      </c>
      <c r="N37" s="10">
        <f>ROUND($I37*K37,0)</f>
        <v/>
      </c>
      <c r="O37" s="10">
        <f>ROUND($I37*L37,0)</f>
        <v/>
      </c>
      <c r="P37" s="10">
        <f>SUM(M37:O37)</f>
        <v/>
      </c>
      <c r="Q37" s="10" t="n">
        <v>1</v>
      </c>
      <c r="R37" s="10" t="n">
        <v>14</v>
      </c>
      <c r="S37" s="10" t="n">
        <v>47</v>
      </c>
      <c r="T37" s="10">
        <f>SUM(Q37:S37)</f>
        <v/>
      </c>
      <c r="U37" s="10">
        <f>P37-T37</f>
        <v/>
      </c>
    </row>
    <row r="38">
      <c r="A38" s="18" t="inlineStr">
        <is>
          <t>BA5040</t>
        </is>
      </c>
      <c r="B38" s="18" t="inlineStr">
        <is>
          <t>18:15</t>
        </is>
      </c>
      <c r="C38" s="18" t="inlineStr">
        <is>
          <t>IST - Turkey</t>
        </is>
      </c>
      <c r="D38" s="18" t="inlineStr">
        <is>
          <t>Europe</t>
        </is>
      </c>
      <c r="E38" s="18" t="inlineStr">
        <is>
          <t>Short-haul</t>
        </is>
      </c>
      <c r="F38" s="18" t="inlineStr">
        <is>
          <t>Europe &amp; Domestic</t>
        </is>
      </c>
      <c r="G38" s="18" t="inlineStr">
        <is>
          <t>Evening</t>
        </is>
      </c>
      <c r="H38" s="15" t="n">
        <v>180</v>
      </c>
      <c r="I38" s="15" t="n">
        <v>153</v>
      </c>
      <c r="J38" s="13">
        <f>SUMIFS('Recommended Lookup'!$D$5:$D$19,'Recommended Lookup'!$A$5:$A$19,$F38,'Recommended Lookup'!$C$5:$C$19,$G38)</f>
        <v/>
      </c>
      <c r="K38" s="13">
        <f>SUMIFS('Recommended Lookup'!$E$5:$E$19,'Recommended Lookup'!$A$5:$A$19,$F38,'Recommended Lookup'!$C$5:$C$19,$G38)</f>
        <v/>
      </c>
      <c r="L38" s="13">
        <f>SUMIFS('Recommended Lookup'!$F$5:$F$19,'Recommended Lookup'!$A$5:$A$19,$F38,'Recommended Lookup'!$C$5:$C$19,$G38)</f>
        <v/>
      </c>
      <c r="M38" s="15">
        <f>ROUND($I38*J38,0)</f>
        <v/>
      </c>
      <c r="N38" s="15">
        <f>ROUND($I38*K38,0)</f>
        <v/>
      </c>
      <c r="O38" s="15">
        <f>ROUND($I38*L38,0)</f>
        <v/>
      </c>
      <c r="P38" s="15">
        <f>SUM(M38:O38)</f>
        <v/>
      </c>
      <c r="Q38" s="15" t="n">
        <v>1</v>
      </c>
      <c r="R38" s="15" t="n">
        <v>0</v>
      </c>
      <c r="S38" s="15" t="n">
        <v>2</v>
      </c>
      <c r="T38" s="15">
        <f>SUM(Q38:S38)</f>
        <v/>
      </c>
      <c r="U38" s="15">
        <f>P38-T38</f>
        <v/>
      </c>
    </row>
    <row r="39">
      <c r="A39" s="17" t="inlineStr">
        <is>
          <t>BA1403</t>
        </is>
      </c>
      <c r="B39" s="17" t="inlineStr">
        <is>
          <t>19:24</t>
        </is>
      </c>
      <c r="C39" s="17" t="inlineStr">
        <is>
          <t>VIE - Austria</t>
        </is>
      </c>
      <c r="D39" s="17" t="inlineStr">
        <is>
          <t>Europe</t>
        </is>
      </c>
      <c r="E39" s="17" t="inlineStr">
        <is>
          <t>Short-haul</t>
        </is>
      </c>
      <c r="F39" s="17" t="inlineStr">
        <is>
          <t>Europe &amp; Domestic</t>
        </is>
      </c>
      <c r="G39" s="17" t="inlineStr">
        <is>
          <t>Evening</t>
        </is>
      </c>
      <c r="H39" s="10" t="n">
        <v>180</v>
      </c>
      <c r="I39" s="10" t="n">
        <v>153</v>
      </c>
      <c r="J39" s="8">
        <f>SUMIFS('Recommended Lookup'!$D$5:$D$19,'Recommended Lookup'!$A$5:$A$19,$F39,'Recommended Lookup'!$C$5:$C$19,$G39)</f>
        <v/>
      </c>
      <c r="K39" s="8">
        <f>SUMIFS('Recommended Lookup'!$E$5:$E$19,'Recommended Lookup'!$A$5:$A$19,$F39,'Recommended Lookup'!$C$5:$C$19,$G39)</f>
        <v/>
      </c>
      <c r="L39" s="8">
        <f>SUMIFS('Recommended Lookup'!$F$5:$F$19,'Recommended Lookup'!$A$5:$A$19,$F39,'Recommended Lookup'!$C$5:$C$19,$G39)</f>
        <v/>
      </c>
      <c r="M39" s="10">
        <f>ROUND($I39*J39,0)</f>
        <v/>
      </c>
      <c r="N39" s="10">
        <f>ROUND($I39*K39,0)</f>
        <v/>
      </c>
      <c r="O39" s="10">
        <f>ROUND($I39*L39,0)</f>
        <v/>
      </c>
      <c r="P39" s="10">
        <f>SUM(M39:O39)</f>
        <v/>
      </c>
      <c r="Q39" s="10" t="n">
        <v>0</v>
      </c>
      <c r="R39" s="10" t="n">
        <v>6</v>
      </c>
      <c r="S39" s="10" t="n">
        <v>25</v>
      </c>
      <c r="T39" s="10">
        <f>SUM(Q39:S39)</f>
        <v/>
      </c>
      <c r="U39" s="10">
        <f>P39-T39</f>
        <v/>
      </c>
    </row>
    <row r="40">
      <c r="A40" s="18" t="inlineStr">
        <is>
          <t>BA6166</t>
        </is>
      </c>
      <c r="B40" s="18" t="inlineStr">
        <is>
          <t>19:25</t>
        </is>
      </c>
      <c r="C40" s="18" t="inlineStr">
        <is>
          <t>DFW - USA</t>
        </is>
      </c>
      <c r="D40" s="18" t="inlineStr">
        <is>
          <t>North America</t>
        </is>
      </c>
      <c r="E40" s="18" t="inlineStr">
        <is>
          <t>Long-haul</t>
        </is>
      </c>
      <c r="F40" s="18" t="inlineStr">
        <is>
          <t>North America</t>
        </is>
      </c>
      <c r="G40" s="18" t="inlineStr">
        <is>
          <t>Evening</t>
        </is>
      </c>
      <c r="H40" s="15" t="n">
        <v>332</v>
      </c>
      <c r="I40" s="15" t="n">
        <v>282</v>
      </c>
      <c r="J40" s="13">
        <f>SUMIFS('Recommended Lookup'!$D$5:$D$19,'Recommended Lookup'!$A$5:$A$19,$F40,'Recommended Lookup'!$C$5:$C$19,$G40)</f>
        <v/>
      </c>
      <c r="K40" s="13">
        <f>SUMIFS('Recommended Lookup'!$E$5:$E$19,'Recommended Lookup'!$A$5:$A$19,$F40,'Recommended Lookup'!$C$5:$C$19,$G40)</f>
        <v/>
      </c>
      <c r="L40" s="13">
        <f>SUMIFS('Recommended Lookup'!$F$5:$F$19,'Recommended Lookup'!$A$5:$A$19,$F40,'Recommended Lookup'!$C$5:$C$19,$G40)</f>
        <v/>
      </c>
      <c r="M40" s="15">
        <f>ROUND($I40*J40,0)</f>
        <v/>
      </c>
      <c r="N40" s="15">
        <f>ROUND($I40*K40,0)</f>
        <v/>
      </c>
      <c r="O40" s="15">
        <f>ROUND($I40*L40,0)</f>
        <v/>
      </c>
      <c r="P40" s="15">
        <f>SUM(M40:O40)</f>
        <v/>
      </c>
      <c r="Q40" s="15" t="n">
        <v>1</v>
      </c>
      <c r="R40" s="15" t="n">
        <v>4</v>
      </c>
      <c r="S40" s="15" t="n">
        <v>20</v>
      </c>
      <c r="T40" s="15">
        <f>SUM(Q40:S40)</f>
        <v/>
      </c>
      <c r="U40" s="15">
        <f>P40-T40</f>
        <v/>
      </c>
    </row>
    <row r="41">
      <c r="A41" s="17" t="inlineStr">
        <is>
          <t>BA5306</t>
        </is>
      </c>
      <c r="B41" s="17" t="inlineStr">
        <is>
          <t>19:27</t>
        </is>
      </c>
      <c r="C41" s="17" t="inlineStr">
        <is>
          <t>JFK - USA</t>
        </is>
      </c>
      <c r="D41" s="17" t="inlineStr">
        <is>
          <t>North America</t>
        </is>
      </c>
      <c r="E41" s="17" t="inlineStr">
        <is>
          <t>Long-haul</t>
        </is>
      </c>
      <c r="F41" s="17" t="inlineStr">
        <is>
          <t>North America</t>
        </is>
      </c>
      <c r="G41" s="17" t="inlineStr">
        <is>
          <t>Evening</t>
        </is>
      </c>
      <c r="H41" s="10" t="n">
        <v>332</v>
      </c>
      <c r="I41" s="10" t="n">
        <v>282</v>
      </c>
      <c r="J41" s="8">
        <f>SUMIFS('Recommended Lookup'!$D$5:$D$19,'Recommended Lookup'!$A$5:$A$19,$F41,'Recommended Lookup'!$C$5:$C$19,$G41)</f>
        <v/>
      </c>
      <c r="K41" s="8">
        <f>SUMIFS('Recommended Lookup'!$E$5:$E$19,'Recommended Lookup'!$A$5:$A$19,$F41,'Recommended Lookup'!$C$5:$C$19,$G41)</f>
        <v/>
      </c>
      <c r="L41" s="8">
        <f>SUMIFS('Recommended Lookup'!$F$5:$F$19,'Recommended Lookup'!$A$5:$A$19,$F41,'Recommended Lookup'!$C$5:$C$19,$G41)</f>
        <v/>
      </c>
      <c r="M41" s="10">
        <f>ROUND($I41*J41,0)</f>
        <v/>
      </c>
      <c r="N41" s="10">
        <f>ROUND($I41*K41,0)</f>
        <v/>
      </c>
      <c r="O41" s="10">
        <f>ROUND($I41*L41,0)</f>
        <v/>
      </c>
      <c r="P41" s="10">
        <f>SUM(M41:O41)</f>
        <v/>
      </c>
      <c r="Q41" s="10" t="n">
        <v>0</v>
      </c>
      <c r="R41" s="10" t="n">
        <v>0</v>
      </c>
      <c r="S41" s="10" t="n">
        <v>0</v>
      </c>
      <c r="T41" s="10">
        <f>SUM(Q41:S41)</f>
        <v/>
      </c>
      <c r="U41" s="10">
        <f>P41-T41</f>
        <v/>
      </c>
    </row>
    <row r="42">
      <c r="A42" s="18" t="inlineStr">
        <is>
          <t>BA3533</t>
        </is>
      </c>
      <c r="B42" s="18" t="inlineStr">
        <is>
          <t>19:45</t>
        </is>
      </c>
      <c r="C42" s="18" t="inlineStr">
        <is>
          <t>DXB - UAE</t>
        </is>
      </c>
      <c r="D42" s="18" t="inlineStr">
        <is>
          <t>Middle East</t>
        </is>
      </c>
      <c r="E42" s="18" t="inlineStr">
        <is>
          <t>Long-haul</t>
        </is>
      </c>
      <c r="F42" s="18" t="inlineStr">
        <is>
          <t>Middle East &amp; Africa</t>
        </is>
      </c>
      <c r="G42" s="18" t="inlineStr">
        <is>
          <t>Evening</t>
        </is>
      </c>
      <c r="H42" s="15" t="n">
        <v>214</v>
      </c>
      <c r="I42" s="15" t="n">
        <v>182</v>
      </c>
      <c r="J42" s="13">
        <f>SUMIFS('Recommended Lookup'!$D$5:$D$19,'Recommended Lookup'!$A$5:$A$19,$F42,'Recommended Lookup'!$C$5:$C$19,$G42)</f>
        <v/>
      </c>
      <c r="K42" s="13">
        <f>SUMIFS('Recommended Lookup'!$E$5:$E$19,'Recommended Lookup'!$A$5:$A$19,$F42,'Recommended Lookup'!$C$5:$C$19,$G42)</f>
        <v/>
      </c>
      <c r="L42" s="13">
        <f>SUMIFS('Recommended Lookup'!$F$5:$F$19,'Recommended Lookup'!$A$5:$A$19,$F42,'Recommended Lookup'!$C$5:$C$19,$G42)</f>
        <v/>
      </c>
      <c r="M42" s="15">
        <f>ROUND($I42*J42,0)</f>
        <v/>
      </c>
      <c r="N42" s="15">
        <f>ROUND($I42*K42,0)</f>
        <v/>
      </c>
      <c r="O42" s="15">
        <f>ROUND($I42*L42,0)</f>
        <v/>
      </c>
      <c r="P42" s="15">
        <f>SUM(M42:O42)</f>
        <v/>
      </c>
      <c r="Q42" s="15" t="n">
        <v>0</v>
      </c>
      <c r="R42" s="15" t="n">
        <v>0</v>
      </c>
      <c r="S42" s="15" t="n">
        <v>0</v>
      </c>
      <c r="T42" s="15">
        <f>SUM(Q42:S42)</f>
        <v/>
      </c>
      <c r="U42" s="15">
        <f>P42-T42</f>
        <v/>
      </c>
    </row>
    <row r="43">
      <c r="A43" s="17" t="inlineStr">
        <is>
          <t>BA4366</t>
        </is>
      </c>
      <c r="B43" s="17" t="inlineStr">
        <is>
          <t>20:01</t>
        </is>
      </c>
      <c r="C43" s="17" t="inlineStr">
        <is>
          <t>HND - Japan</t>
        </is>
      </c>
      <c r="D43" s="17" t="inlineStr">
        <is>
          <t>Asia</t>
        </is>
      </c>
      <c r="E43" s="17" t="inlineStr">
        <is>
          <t>Long-haul</t>
        </is>
      </c>
      <c r="F43" s="17" t="inlineStr">
        <is>
          <t>Asia &amp; Oceania</t>
        </is>
      </c>
      <c r="G43" s="17" t="inlineStr">
        <is>
          <t>Evening</t>
        </is>
      </c>
      <c r="H43" s="10" t="n">
        <v>214</v>
      </c>
      <c r="I43" s="10" t="n">
        <v>182</v>
      </c>
      <c r="J43" s="8">
        <f>SUMIFS('Recommended Lookup'!$D$5:$D$19,'Recommended Lookup'!$A$5:$A$19,$F43,'Recommended Lookup'!$C$5:$C$19,$G43)</f>
        <v/>
      </c>
      <c r="K43" s="8">
        <f>SUMIFS('Recommended Lookup'!$E$5:$E$19,'Recommended Lookup'!$A$5:$A$19,$F43,'Recommended Lookup'!$C$5:$C$19,$G43)</f>
        <v/>
      </c>
      <c r="L43" s="8">
        <f>SUMIFS('Recommended Lookup'!$F$5:$F$19,'Recommended Lookup'!$A$5:$A$19,$F43,'Recommended Lookup'!$C$5:$C$19,$G43)</f>
        <v/>
      </c>
      <c r="M43" s="10">
        <f>ROUND($I43*J43,0)</f>
        <v/>
      </c>
      <c r="N43" s="10">
        <f>ROUND($I43*K43,0)</f>
        <v/>
      </c>
      <c r="O43" s="10">
        <f>ROUND($I43*L43,0)</f>
        <v/>
      </c>
      <c r="P43" s="10">
        <f>SUM(M43:O43)</f>
        <v/>
      </c>
      <c r="Q43" s="10" t="n">
        <v>0</v>
      </c>
      <c r="R43" s="10" t="n">
        <v>2</v>
      </c>
      <c r="S43" s="10" t="n">
        <v>15</v>
      </c>
      <c r="T43" s="10">
        <f>SUM(Q43:S43)</f>
        <v/>
      </c>
      <c r="U43" s="10">
        <f>P43-T43</f>
        <v/>
      </c>
    </row>
    <row r="44">
      <c r="A44" s="18" t="inlineStr">
        <is>
          <t>BA8140</t>
        </is>
      </c>
      <c r="B44" s="18" t="inlineStr">
        <is>
          <t>21:01</t>
        </is>
      </c>
      <c r="C44" s="18" t="inlineStr">
        <is>
          <t>MAD - Spain</t>
        </is>
      </c>
      <c r="D44" s="18" t="inlineStr">
        <is>
          <t>Europe</t>
        </is>
      </c>
      <c r="E44" s="18" t="inlineStr">
        <is>
          <t>Short-haul</t>
        </is>
      </c>
      <c r="F44" s="18" t="inlineStr">
        <is>
          <t>Europe &amp; Domestic</t>
        </is>
      </c>
      <c r="G44" s="18" t="inlineStr">
        <is>
          <t>Evening</t>
        </is>
      </c>
      <c r="H44" s="15" t="n">
        <v>180</v>
      </c>
      <c r="I44" s="15" t="n">
        <v>153</v>
      </c>
      <c r="J44" s="13">
        <f>SUMIFS('Recommended Lookup'!$D$5:$D$19,'Recommended Lookup'!$A$5:$A$19,$F44,'Recommended Lookup'!$C$5:$C$19,$G44)</f>
        <v/>
      </c>
      <c r="K44" s="13">
        <f>SUMIFS('Recommended Lookup'!$E$5:$E$19,'Recommended Lookup'!$A$5:$A$19,$F44,'Recommended Lookup'!$C$5:$C$19,$G44)</f>
        <v/>
      </c>
      <c r="L44" s="13">
        <f>SUMIFS('Recommended Lookup'!$F$5:$F$19,'Recommended Lookup'!$A$5:$A$19,$F44,'Recommended Lookup'!$C$5:$C$19,$G44)</f>
        <v/>
      </c>
      <c r="M44" s="15">
        <f>ROUND($I44*J44,0)</f>
        <v/>
      </c>
      <c r="N44" s="15">
        <f>ROUND($I44*K44,0)</f>
        <v/>
      </c>
      <c r="O44" s="15">
        <f>ROUND($I44*L44,0)</f>
        <v/>
      </c>
      <c r="P44" s="15">
        <f>SUM(M44:O44)</f>
        <v/>
      </c>
      <c r="Q44" s="15" t="n">
        <v>0</v>
      </c>
      <c r="R44" s="15" t="n">
        <v>2</v>
      </c>
      <c r="S44" s="15" t="n">
        <v>14</v>
      </c>
      <c r="T44" s="15">
        <f>SUM(Q44:S44)</f>
        <v/>
      </c>
      <c r="U44" s="15">
        <f>P44-T44</f>
        <v/>
      </c>
    </row>
    <row r="45">
      <c r="A45" s="17" t="inlineStr">
        <is>
          <t>BA6377</t>
        </is>
      </c>
      <c r="B45" s="17" t="inlineStr">
        <is>
          <t>21:18</t>
        </is>
      </c>
      <c r="C45" s="17" t="inlineStr">
        <is>
          <t>IST - Turkey</t>
        </is>
      </c>
      <c r="D45" s="17" t="inlineStr">
        <is>
          <t>Europe</t>
        </is>
      </c>
      <c r="E45" s="17" t="inlineStr">
        <is>
          <t>Short-haul</t>
        </is>
      </c>
      <c r="F45" s="17" t="inlineStr">
        <is>
          <t>Europe &amp; Domestic</t>
        </is>
      </c>
      <c r="G45" s="17" t="inlineStr">
        <is>
          <t>Evening</t>
        </is>
      </c>
      <c r="H45" s="10" t="n">
        <v>180</v>
      </c>
      <c r="I45" s="10" t="n">
        <v>153</v>
      </c>
      <c r="J45" s="8">
        <f>SUMIFS('Recommended Lookup'!$D$5:$D$19,'Recommended Lookup'!$A$5:$A$19,$F45,'Recommended Lookup'!$C$5:$C$19,$G45)</f>
        <v/>
      </c>
      <c r="K45" s="8">
        <f>SUMIFS('Recommended Lookup'!$E$5:$E$19,'Recommended Lookup'!$A$5:$A$19,$F45,'Recommended Lookup'!$C$5:$C$19,$G45)</f>
        <v/>
      </c>
      <c r="L45" s="8">
        <f>SUMIFS('Recommended Lookup'!$F$5:$F$19,'Recommended Lookup'!$A$5:$A$19,$F45,'Recommended Lookup'!$C$5:$C$19,$G45)</f>
        <v/>
      </c>
      <c r="M45" s="10">
        <f>ROUND($I45*J45,0)</f>
        <v/>
      </c>
      <c r="N45" s="10">
        <f>ROUND($I45*K45,0)</f>
        <v/>
      </c>
      <c r="O45" s="10">
        <f>ROUND($I45*L45,0)</f>
        <v/>
      </c>
      <c r="P45" s="10">
        <f>SUM(M45:O45)</f>
        <v/>
      </c>
      <c r="Q45" s="10" t="n">
        <v>1</v>
      </c>
      <c r="R45" s="10" t="n">
        <v>15</v>
      </c>
      <c r="S45" s="10" t="n">
        <v>50</v>
      </c>
      <c r="T45" s="10">
        <f>SUM(Q45:S45)</f>
        <v/>
      </c>
      <c r="U45" s="10">
        <f>P45-T45</f>
        <v/>
      </c>
    </row>
    <row r="46">
      <c r="A46" s="18" t="inlineStr">
        <is>
          <t>BA9002</t>
        </is>
      </c>
      <c r="B46" s="18" t="inlineStr">
        <is>
          <t>21:58</t>
        </is>
      </c>
      <c r="C46" s="18" t="inlineStr">
        <is>
          <t>VIE - Austria</t>
        </is>
      </c>
      <c r="D46" s="18" t="inlineStr">
        <is>
          <t>Europe</t>
        </is>
      </c>
      <c r="E46" s="18" t="inlineStr">
        <is>
          <t>Short-haul</t>
        </is>
      </c>
      <c r="F46" s="18" t="inlineStr">
        <is>
          <t>Europe &amp; Domestic</t>
        </is>
      </c>
      <c r="G46" s="18" t="inlineStr">
        <is>
          <t>Evening</t>
        </is>
      </c>
      <c r="H46" s="15" t="n">
        <v>180</v>
      </c>
      <c r="I46" s="15" t="n">
        <v>153</v>
      </c>
      <c r="J46" s="13">
        <f>SUMIFS('Recommended Lookup'!$D$5:$D$19,'Recommended Lookup'!$A$5:$A$19,$F46,'Recommended Lookup'!$C$5:$C$19,$G46)</f>
        <v/>
      </c>
      <c r="K46" s="13">
        <f>SUMIFS('Recommended Lookup'!$E$5:$E$19,'Recommended Lookup'!$A$5:$A$19,$F46,'Recommended Lookup'!$C$5:$C$19,$G46)</f>
        <v/>
      </c>
      <c r="L46" s="13">
        <f>SUMIFS('Recommended Lookup'!$F$5:$F$19,'Recommended Lookup'!$A$5:$A$19,$F46,'Recommended Lookup'!$C$5:$C$19,$G46)</f>
        <v/>
      </c>
      <c r="M46" s="15">
        <f>ROUND($I46*J46,0)</f>
        <v/>
      </c>
      <c r="N46" s="15">
        <f>ROUND($I46*K46,0)</f>
        <v/>
      </c>
      <c r="O46" s="15">
        <f>ROUND($I46*L46,0)</f>
        <v/>
      </c>
      <c r="P46" s="15">
        <f>SUM(M46:O46)</f>
        <v/>
      </c>
      <c r="Q46" s="15" t="n">
        <v>0</v>
      </c>
      <c r="R46" s="15" t="n">
        <v>16</v>
      </c>
      <c r="S46" s="15" t="n">
        <v>54</v>
      </c>
      <c r="T46" s="15">
        <f>SUM(Q46:S46)</f>
        <v/>
      </c>
      <c r="U46" s="15">
        <f>P46-T46</f>
        <v/>
      </c>
    </row>
    <row r="47">
      <c r="A47" s="17" t="inlineStr">
        <is>
          <t>BA6348</t>
        </is>
      </c>
      <c r="B47" s="17" t="inlineStr">
        <is>
          <t>22:18</t>
        </is>
      </c>
      <c r="C47" s="17" t="inlineStr">
        <is>
          <t>BCN - Spain</t>
        </is>
      </c>
      <c r="D47" s="17" t="inlineStr">
        <is>
          <t>Europe</t>
        </is>
      </c>
      <c r="E47" s="17" t="inlineStr">
        <is>
          <t>Short-haul</t>
        </is>
      </c>
      <c r="F47" s="17" t="inlineStr">
        <is>
          <t>Europe &amp; Domestic</t>
        </is>
      </c>
      <c r="G47" s="17" t="inlineStr">
        <is>
          <t>Evening</t>
        </is>
      </c>
      <c r="H47" s="10" t="n">
        <v>180</v>
      </c>
      <c r="I47" s="10" t="n">
        <v>153</v>
      </c>
      <c r="J47" s="8">
        <f>SUMIFS('Recommended Lookup'!$D$5:$D$19,'Recommended Lookup'!$A$5:$A$19,$F47,'Recommended Lookup'!$C$5:$C$19,$G47)</f>
        <v/>
      </c>
      <c r="K47" s="8">
        <f>SUMIFS('Recommended Lookup'!$E$5:$E$19,'Recommended Lookup'!$A$5:$A$19,$F47,'Recommended Lookup'!$C$5:$C$19,$G47)</f>
        <v/>
      </c>
      <c r="L47" s="8">
        <f>SUMIFS('Recommended Lookup'!$F$5:$F$19,'Recommended Lookup'!$A$5:$A$19,$F47,'Recommended Lookup'!$C$5:$C$19,$G47)</f>
        <v/>
      </c>
      <c r="M47" s="10">
        <f>ROUND($I47*J47,0)</f>
        <v/>
      </c>
      <c r="N47" s="10">
        <f>ROUND($I47*K47,0)</f>
        <v/>
      </c>
      <c r="O47" s="10">
        <f>ROUND($I47*L47,0)</f>
        <v/>
      </c>
      <c r="P47" s="10">
        <f>SUM(M47:O47)</f>
        <v/>
      </c>
      <c r="Q47" s="10" t="n">
        <v>0</v>
      </c>
      <c r="R47" s="10" t="n">
        <v>10</v>
      </c>
      <c r="S47" s="10" t="n">
        <v>37</v>
      </c>
      <c r="T47" s="10">
        <f>SUM(Q47:S47)</f>
        <v/>
      </c>
      <c r="U47" s="10">
        <f>P47-T47</f>
        <v/>
      </c>
    </row>
    <row r="48">
      <c r="A48" s="18" t="inlineStr">
        <is>
          <t>BA2137</t>
        </is>
      </c>
      <c r="B48" s="18" t="inlineStr">
        <is>
          <t>22:43</t>
        </is>
      </c>
      <c r="C48" s="18" t="inlineStr">
        <is>
          <t>VIE - Austria</t>
        </is>
      </c>
      <c r="D48" s="18" t="inlineStr">
        <is>
          <t>Europe</t>
        </is>
      </c>
      <c r="E48" s="18" t="inlineStr">
        <is>
          <t>Short-haul</t>
        </is>
      </c>
      <c r="F48" s="18" t="inlineStr">
        <is>
          <t>Europe &amp; Domestic</t>
        </is>
      </c>
      <c r="G48" s="18" t="inlineStr">
        <is>
          <t>Evening</t>
        </is>
      </c>
      <c r="H48" s="15" t="n">
        <v>180</v>
      </c>
      <c r="I48" s="15" t="n">
        <v>153</v>
      </c>
      <c r="J48" s="13">
        <f>SUMIFS('Recommended Lookup'!$D$5:$D$19,'Recommended Lookup'!$A$5:$A$19,$F48,'Recommended Lookup'!$C$5:$C$19,$G48)</f>
        <v/>
      </c>
      <c r="K48" s="13">
        <f>SUMIFS('Recommended Lookup'!$E$5:$E$19,'Recommended Lookup'!$A$5:$A$19,$F48,'Recommended Lookup'!$C$5:$C$19,$G48)</f>
        <v/>
      </c>
      <c r="L48" s="13">
        <f>SUMIFS('Recommended Lookup'!$F$5:$F$19,'Recommended Lookup'!$A$5:$A$19,$F48,'Recommended Lookup'!$C$5:$C$19,$G48)</f>
        <v/>
      </c>
      <c r="M48" s="15">
        <f>ROUND($I48*J48,0)</f>
        <v/>
      </c>
      <c r="N48" s="15">
        <f>ROUND($I48*K48,0)</f>
        <v/>
      </c>
      <c r="O48" s="15">
        <f>ROUND($I48*L48,0)</f>
        <v/>
      </c>
      <c r="P48" s="15">
        <f>SUM(M48:O48)</f>
        <v/>
      </c>
      <c r="Q48" s="15" t="n">
        <v>0</v>
      </c>
      <c r="R48" s="15" t="n">
        <v>10</v>
      </c>
      <c r="S48" s="15" t="n">
        <v>36</v>
      </c>
      <c r="T48" s="15">
        <f>SUM(Q48:S48)</f>
        <v/>
      </c>
      <c r="U48" s="15">
        <f>P48-T48</f>
        <v/>
      </c>
    </row>
    <row r="49">
      <c r="A49" s="19" t="inlineStr">
        <is>
          <t>TOTAL</t>
        </is>
      </c>
      <c r="B49" s="20" t="n"/>
      <c r="C49" s="20" t="n"/>
      <c r="D49" s="20" t="n"/>
      <c r="E49" s="20" t="n"/>
      <c r="F49" s="20" t="n"/>
      <c r="G49" s="20" t="n"/>
      <c r="H49" s="21">
        <f>SUM(H5:H48)</f>
        <v/>
      </c>
      <c r="I49" s="21">
        <f>SUM(I5:I48)</f>
        <v/>
      </c>
      <c r="J49" s="20" t="n"/>
      <c r="K49" s="20" t="n"/>
      <c r="L49" s="20" t="n"/>
      <c r="M49" s="21">
        <f>SUM(M5:M48)</f>
        <v/>
      </c>
      <c r="N49" s="21">
        <f>SUM(N5:N48)</f>
        <v/>
      </c>
      <c r="O49" s="21">
        <f>SUM(O5:O48)</f>
        <v/>
      </c>
      <c r="P49" s="21">
        <f>SUM(P5:P48)</f>
        <v/>
      </c>
      <c r="Q49" s="21">
        <f>SUM(Q5:Q48)</f>
        <v/>
      </c>
      <c r="R49" s="21">
        <f>SUM(R5:R48)</f>
        <v/>
      </c>
      <c r="S49" s="21">
        <f>SUM(S5:S48)</f>
        <v/>
      </c>
      <c r="T49" s="21">
        <f>SUM(T5:T48)</f>
        <v/>
      </c>
      <c r="U49" s="21">
        <f>SUM(U5:U48)</f>
        <v/>
      </c>
    </row>
    <row r="51">
      <c r="A51" s="6" t="inlineStr">
        <is>
          <t>Sample day comparison</t>
        </is>
      </c>
    </row>
    <row r="52">
      <c r="A52" s="22" t="inlineStr">
        <is>
          <t>Recommended lookup (data-calibrated) - modelled eligible</t>
        </is>
      </c>
      <c r="F52" s="23">
        <f>P49</f>
        <v/>
      </c>
      <c r="G52" s="24" t="inlineStr">
        <is>
          <t>+10.0% vs schedule actual</t>
        </is>
      </c>
    </row>
    <row r="53">
      <c r="A53" s="22" t="inlineStr">
        <is>
          <t>Baseline assumption model - modelled eligible</t>
        </is>
      </c>
      <c r="F53" s="23" t="n">
        <v>2281</v>
      </c>
      <c r="G53" s="24" t="inlineStr">
        <is>
          <t>+46.5% vs schedule actual</t>
        </is>
      </c>
    </row>
    <row r="54">
      <c r="A54" s="22" t="inlineStr">
        <is>
          <t>Schedule dataset actual eligible (TIER1+2+3)</t>
        </is>
      </c>
      <c r="F54" s="23">
        <f>T49</f>
        <v/>
      </c>
      <c r="G54" s="24" t="inlineStr">
        <is>
          <t>benchmark</t>
        </is>
      </c>
    </row>
    <row r="55">
      <c r="A55" s="22" t="inlineStr">
        <is>
          <t>Of which hypothetical Tier 1 (future Tier 1 / Concorde space at T3)</t>
        </is>
      </c>
      <c r="F55" s="23">
        <f>Q49</f>
        <v/>
      </c>
      <c r="G55" s="24" t="inlineStr">
        <is>
          <t>no Concorde Room at T3 today</t>
        </is>
      </c>
    </row>
    <row r="58">
      <c r="A58" s="6" t="inlineStr">
        <is>
          <t>Evaluation by category x time band - where the model should be judged (modelled vs actual)</t>
        </is>
      </c>
    </row>
    <row r="59">
      <c r="A59" s="25" t="inlineStr">
        <is>
          <t>Category</t>
        </is>
      </c>
      <c r="B59" s="26" t="n"/>
      <c r="C59" s="25" t="inlineStr">
        <is>
          <t>Time band</t>
        </is>
      </c>
      <c r="D59" s="25" t="inlineStr">
        <is>
          <t>Tier 1 - Concorde Room (hypothetical)</t>
        </is>
      </c>
      <c r="E59" s="26" t="n"/>
      <c r="F59" s="26" t="n"/>
      <c r="G59" s="25" t="inlineStr">
        <is>
          <t>Tier 2 - First Lounge</t>
        </is>
      </c>
      <c r="H59" s="26" t="n"/>
      <c r="I59" s="26" t="n"/>
      <c r="J59" s="25" t="inlineStr">
        <is>
          <t>Tier 3 - Club Lounge</t>
        </is>
      </c>
      <c r="K59" s="26" t="n"/>
      <c r="L59" s="26" t="n"/>
      <c r="M59" s="25" t="inlineStr">
        <is>
          <t>Total eligible</t>
        </is>
      </c>
      <c r="N59" s="26" t="n"/>
      <c r="O59" s="26" t="n"/>
      <c r="P59" s="25" t="inlineStr">
        <is>
          <t>Var%</t>
        </is>
      </c>
    </row>
    <row r="60">
      <c r="A60" s="26" t="n"/>
      <c r="B60" s="26" t="n"/>
      <c r="C60" s="26" t="n"/>
      <c r="D60" s="27" t="inlineStr">
        <is>
          <t>Modelled</t>
        </is>
      </c>
      <c r="E60" s="27" t="inlineStr">
        <is>
          <t>Actual</t>
        </is>
      </c>
      <c r="F60" s="27" t="inlineStr">
        <is>
          <t>Var</t>
        </is>
      </c>
      <c r="G60" s="27" t="inlineStr">
        <is>
          <t>Modelled</t>
        </is>
      </c>
      <c r="H60" s="27" t="inlineStr">
        <is>
          <t>Actual</t>
        </is>
      </c>
      <c r="I60" s="27" t="inlineStr">
        <is>
          <t>Var</t>
        </is>
      </c>
      <c r="J60" s="27" t="inlineStr">
        <is>
          <t>Modelled</t>
        </is>
      </c>
      <c r="K60" s="27" t="inlineStr">
        <is>
          <t>Actual</t>
        </is>
      </c>
      <c r="L60" s="27" t="inlineStr">
        <is>
          <t>Var</t>
        </is>
      </c>
      <c r="M60" s="27" t="inlineStr">
        <is>
          <t>Modelled</t>
        </is>
      </c>
      <c r="N60" s="27" t="inlineStr">
        <is>
          <t>Actual</t>
        </is>
      </c>
      <c r="O60" s="27" t="inlineStr">
        <is>
          <t>Var</t>
        </is>
      </c>
      <c r="P60" s="26" t="n"/>
    </row>
    <row r="61">
      <c r="A61" s="28" t="inlineStr">
        <is>
          <t>Middle East &amp; Africa</t>
        </is>
      </c>
      <c r="B61" s="17" t="n"/>
      <c r="C61" s="10" t="inlineStr">
        <is>
          <t>Early morning</t>
        </is>
      </c>
      <c r="D61" s="10">
        <f>SUMIFS(M$5:M$48,$F$5:$F$48,$A61,$G$5:$G$48,$C61)</f>
        <v/>
      </c>
      <c r="E61" s="10">
        <f>SUMIFS(Q$5:Q$48,$F$5:$F$48,$A61,$G$5:$G$48,$C61)</f>
        <v/>
      </c>
      <c r="F61" s="29">
        <f>D61-E61</f>
        <v/>
      </c>
      <c r="G61" s="10">
        <f>SUMIFS(N$5:N$48,$F$5:$F$48,$A61,$G$5:$G$48,$C61)</f>
        <v/>
      </c>
      <c r="H61" s="10">
        <f>SUMIFS(R$5:R$48,$F$5:$F$48,$A61,$G$5:$G$48,$C61)</f>
        <v/>
      </c>
      <c r="I61" s="29">
        <f>G61-H61</f>
        <v/>
      </c>
      <c r="J61" s="10">
        <f>SUMIFS(O$5:O$48,$F$5:$F$48,$A61,$G$5:$G$48,$C61)</f>
        <v/>
      </c>
      <c r="K61" s="10">
        <f>SUMIFS(S$5:S$48,$F$5:$F$48,$A61,$G$5:$G$48,$C61)</f>
        <v/>
      </c>
      <c r="L61" s="29">
        <f>J61-K61</f>
        <v/>
      </c>
      <c r="M61" s="10">
        <f>SUM(D61,G61,J61)</f>
        <v/>
      </c>
      <c r="N61" s="10">
        <f>SUM(E61,H61,K61)</f>
        <v/>
      </c>
      <c r="O61" s="29">
        <f>M61-N61</f>
        <v/>
      </c>
      <c r="P61" s="30">
        <f>IF(N61=0,"",M61/N61-1)</f>
        <v/>
      </c>
    </row>
    <row r="62">
      <c r="A62" s="31" t="inlineStr">
        <is>
          <t>Europe &amp; Domestic</t>
        </is>
      </c>
      <c r="B62" s="18" t="n"/>
      <c r="C62" s="15" t="inlineStr">
        <is>
          <t>Early morning</t>
        </is>
      </c>
      <c r="D62" s="15">
        <f>SUMIFS(M$5:M$48,$F$5:$F$48,$A62,$G$5:$G$48,$C62)</f>
        <v/>
      </c>
      <c r="E62" s="15">
        <f>SUMIFS(Q$5:Q$48,$F$5:$F$48,$A62,$G$5:$G$48,$C62)</f>
        <v/>
      </c>
      <c r="F62" s="32">
        <f>D62-E62</f>
        <v/>
      </c>
      <c r="G62" s="15">
        <f>SUMIFS(N$5:N$48,$F$5:$F$48,$A62,$G$5:$G$48,$C62)</f>
        <v/>
      </c>
      <c r="H62" s="15">
        <f>SUMIFS(R$5:R$48,$F$5:$F$48,$A62,$G$5:$G$48,$C62)</f>
        <v/>
      </c>
      <c r="I62" s="32">
        <f>G62-H62</f>
        <v/>
      </c>
      <c r="J62" s="15">
        <f>SUMIFS(O$5:O$48,$F$5:$F$48,$A62,$G$5:$G$48,$C62)</f>
        <v/>
      </c>
      <c r="K62" s="15">
        <f>SUMIFS(S$5:S$48,$F$5:$F$48,$A62,$G$5:$G$48,$C62)</f>
        <v/>
      </c>
      <c r="L62" s="32">
        <f>J62-K62</f>
        <v/>
      </c>
      <c r="M62" s="15">
        <f>SUM(D62,G62,J62)</f>
        <v/>
      </c>
      <c r="N62" s="15">
        <f>SUM(E62,H62,K62)</f>
        <v/>
      </c>
      <c r="O62" s="32">
        <f>M62-N62</f>
        <v/>
      </c>
      <c r="P62" s="33">
        <f>IF(N62=0,"",M62/N62-1)</f>
        <v/>
      </c>
    </row>
    <row r="63">
      <c r="A63" s="28" t="inlineStr">
        <is>
          <t>North America</t>
        </is>
      </c>
      <c r="B63" s="17" t="n"/>
      <c r="C63" s="10" t="inlineStr">
        <is>
          <t>Early morning</t>
        </is>
      </c>
      <c r="D63" s="10">
        <f>SUMIFS(M$5:M$48,$F$5:$F$48,$A63,$G$5:$G$48,$C63)</f>
        <v/>
      </c>
      <c r="E63" s="10">
        <f>SUMIFS(Q$5:Q$48,$F$5:$F$48,$A63,$G$5:$G$48,$C63)</f>
        <v/>
      </c>
      <c r="F63" s="29">
        <f>D63-E63</f>
        <v/>
      </c>
      <c r="G63" s="10">
        <f>SUMIFS(N$5:N$48,$F$5:$F$48,$A63,$G$5:$G$48,$C63)</f>
        <v/>
      </c>
      <c r="H63" s="10">
        <f>SUMIFS(R$5:R$48,$F$5:$F$48,$A63,$G$5:$G$48,$C63)</f>
        <v/>
      </c>
      <c r="I63" s="29">
        <f>G63-H63</f>
        <v/>
      </c>
      <c r="J63" s="10">
        <f>SUMIFS(O$5:O$48,$F$5:$F$48,$A63,$G$5:$G$48,$C63)</f>
        <v/>
      </c>
      <c r="K63" s="10">
        <f>SUMIFS(S$5:S$48,$F$5:$F$48,$A63,$G$5:$G$48,$C63)</f>
        <v/>
      </c>
      <c r="L63" s="29">
        <f>J63-K63</f>
        <v/>
      </c>
      <c r="M63" s="10">
        <f>SUM(D63,G63,J63)</f>
        <v/>
      </c>
      <c r="N63" s="10">
        <f>SUM(E63,H63,K63)</f>
        <v/>
      </c>
      <c r="O63" s="29">
        <f>M63-N63</f>
        <v/>
      </c>
      <c r="P63" s="30">
        <f>IF(N63=0,"",M63/N63-1)</f>
        <v/>
      </c>
    </row>
    <row r="64">
      <c r="A64" s="31" t="inlineStr">
        <is>
          <t>Asia &amp; Oceania</t>
        </is>
      </c>
      <c r="B64" s="18" t="n"/>
      <c r="C64" s="15" t="inlineStr">
        <is>
          <t>Early morning</t>
        </is>
      </c>
      <c r="D64" s="15">
        <f>SUMIFS(M$5:M$48,$F$5:$F$48,$A64,$G$5:$G$48,$C64)</f>
        <v/>
      </c>
      <c r="E64" s="15">
        <f>SUMIFS(Q$5:Q$48,$F$5:$F$48,$A64,$G$5:$G$48,$C64)</f>
        <v/>
      </c>
      <c r="F64" s="32">
        <f>D64-E64</f>
        <v/>
      </c>
      <c r="G64" s="15">
        <f>SUMIFS(N$5:N$48,$F$5:$F$48,$A64,$G$5:$G$48,$C64)</f>
        <v/>
      </c>
      <c r="H64" s="15">
        <f>SUMIFS(R$5:R$48,$F$5:$F$48,$A64,$G$5:$G$48,$C64)</f>
        <v/>
      </c>
      <c r="I64" s="32">
        <f>G64-H64</f>
        <v/>
      </c>
      <c r="J64" s="15">
        <f>SUMIFS(O$5:O$48,$F$5:$F$48,$A64,$G$5:$G$48,$C64)</f>
        <v/>
      </c>
      <c r="K64" s="15">
        <f>SUMIFS(S$5:S$48,$F$5:$F$48,$A64,$G$5:$G$48,$C64)</f>
        <v/>
      </c>
      <c r="L64" s="32">
        <f>J64-K64</f>
        <v/>
      </c>
      <c r="M64" s="15">
        <f>SUM(D64,G64,J64)</f>
        <v/>
      </c>
      <c r="N64" s="15">
        <f>SUM(E64,H64,K64)</f>
        <v/>
      </c>
      <c r="O64" s="32">
        <f>M64-N64</f>
        <v/>
      </c>
      <c r="P64" s="33">
        <f>IF(N64=0,"",M64/N64-1)</f>
        <v/>
      </c>
    </row>
    <row r="65">
      <c r="A65" s="28" t="inlineStr">
        <is>
          <t>Middle East &amp; Africa</t>
        </is>
      </c>
      <c r="B65" s="17" t="n"/>
      <c r="C65" s="10" t="inlineStr">
        <is>
          <t>Midday</t>
        </is>
      </c>
      <c r="D65" s="10">
        <f>SUMIFS(M$5:M$48,$F$5:$F$48,$A65,$G$5:$G$48,$C65)</f>
        <v/>
      </c>
      <c r="E65" s="10">
        <f>SUMIFS(Q$5:Q$48,$F$5:$F$48,$A65,$G$5:$G$48,$C65)</f>
        <v/>
      </c>
      <c r="F65" s="29">
        <f>D65-E65</f>
        <v/>
      </c>
      <c r="G65" s="10">
        <f>SUMIFS(N$5:N$48,$F$5:$F$48,$A65,$G$5:$G$48,$C65)</f>
        <v/>
      </c>
      <c r="H65" s="10">
        <f>SUMIFS(R$5:R$48,$F$5:$F$48,$A65,$G$5:$G$48,$C65)</f>
        <v/>
      </c>
      <c r="I65" s="29">
        <f>G65-H65</f>
        <v/>
      </c>
      <c r="J65" s="10">
        <f>SUMIFS(O$5:O$48,$F$5:$F$48,$A65,$G$5:$G$48,$C65)</f>
        <v/>
      </c>
      <c r="K65" s="10">
        <f>SUMIFS(S$5:S$48,$F$5:$F$48,$A65,$G$5:$G$48,$C65)</f>
        <v/>
      </c>
      <c r="L65" s="29">
        <f>J65-K65</f>
        <v/>
      </c>
      <c r="M65" s="10">
        <f>SUM(D65,G65,J65)</f>
        <v/>
      </c>
      <c r="N65" s="10">
        <f>SUM(E65,H65,K65)</f>
        <v/>
      </c>
      <c r="O65" s="29">
        <f>M65-N65</f>
        <v/>
      </c>
      <c r="P65" s="30">
        <f>IF(N65=0,"",M65/N65-1)</f>
        <v/>
      </c>
    </row>
    <row r="66">
      <c r="A66" s="31" t="inlineStr">
        <is>
          <t>Europe &amp; Domestic</t>
        </is>
      </c>
      <c r="B66" s="18" t="n"/>
      <c r="C66" s="15" t="inlineStr">
        <is>
          <t>Midday</t>
        </is>
      </c>
      <c r="D66" s="15">
        <f>SUMIFS(M$5:M$48,$F$5:$F$48,$A66,$G$5:$G$48,$C66)</f>
        <v/>
      </c>
      <c r="E66" s="15">
        <f>SUMIFS(Q$5:Q$48,$F$5:$F$48,$A66,$G$5:$G$48,$C66)</f>
        <v/>
      </c>
      <c r="F66" s="32">
        <f>D66-E66</f>
        <v/>
      </c>
      <c r="G66" s="15">
        <f>SUMIFS(N$5:N$48,$F$5:$F$48,$A66,$G$5:$G$48,$C66)</f>
        <v/>
      </c>
      <c r="H66" s="15">
        <f>SUMIFS(R$5:R$48,$F$5:$F$48,$A66,$G$5:$G$48,$C66)</f>
        <v/>
      </c>
      <c r="I66" s="32">
        <f>G66-H66</f>
        <v/>
      </c>
      <c r="J66" s="15">
        <f>SUMIFS(O$5:O$48,$F$5:$F$48,$A66,$G$5:$G$48,$C66)</f>
        <v/>
      </c>
      <c r="K66" s="15">
        <f>SUMIFS(S$5:S$48,$F$5:$F$48,$A66,$G$5:$G$48,$C66)</f>
        <v/>
      </c>
      <c r="L66" s="32">
        <f>J66-K66</f>
        <v/>
      </c>
      <c r="M66" s="15">
        <f>SUM(D66,G66,J66)</f>
        <v/>
      </c>
      <c r="N66" s="15">
        <f>SUM(E66,H66,K66)</f>
        <v/>
      </c>
      <c r="O66" s="32">
        <f>M66-N66</f>
        <v/>
      </c>
      <c r="P66" s="33">
        <f>IF(N66=0,"",M66/N66-1)</f>
        <v/>
      </c>
    </row>
    <row r="67">
      <c r="A67" s="28" t="inlineStr">
        <is>
          <t>North America</t>
        </is>
      </c>
      <c r="B67" s="17" t="n"/>
      <c r="C67" s="10" t="inlineStr">
        <is>
          <t>Midday</t>
        </is>
      </c>
      <c r="D67" s="10">
        <f>SUMIFS(M$5:M$48,$F$5:$F$48,$A67,$G$5:$G$48,$C67)</f>
        <v/>
      </c>
      <c r="E67" s="10">
        <f>SUMIFS(Q$5:Q$48,$F$5:$F$48,$A67,$G$5:$G$48,$C67)</f>
        <v/>
      </c>
      <c r="F67" s="29">
        <f>D67-E67</f>
        <v/>
      </c>
      <c r="G67" s="10">
        <f>SUMIFS(N$5:N$48,$F$5:$F$48,$A67,$G$5:$G$48,$C67)</f>
        <v/>
      </c>
      <c r="H67" s="10">
        <f>SUMIFS(R$5:R$48,$F$5:$F$48,$A67,$G$5:$G$48,$C67)</f>
        <v/>
      </c>
      <c r="I67" s="29">
        <f>G67-H67</f>
        <v/>
      </c>
      <c r="J67" s="10">
        <f>SUMIFS(O$5:O$48,$F$5:$F$48,$A67,$G$5:$G$48,$C67)</f>
        <v/>
      </c>
      <c r="K67" s="10">
        <f>SUMIFS(S$5:S$48,$F$5:$F$48,$A67,$G$5:$G$48,$C67)</f>
        <v/>
      </c>
      <c r="L67" s="29">
        <f>J67-K67</f>
        <v/>
      </c>
      <c r="M67" s="10">
        <f>SUM(D67,G67,J67)</f>
        <v/>
      </c>
      <c r="N67" s="10">
        <f>SUM(E67,H67,K67)</f>
        <v/>
      </c>
      <c r="O67" s="29">
        <f>M67-N67</f>
        <v/>
      </c>
      <c r="P67" s="30">
        <f>IF(N67=0,"",M67/N67-1)</f>
        <v/>
      </c>
    </row>
    <row r="68">
      <c r="A68" s="31" t="inlineStr">
        <is>
          <t>Asia &amp; Oceania</t>
        </is>
      </c>
      <c r="B68" s="18" t="n"/>
      <c r="C68" s="15" t="inlineStr">
        <is>
          <t>Midday</t>
        </is>
      </c>
      <c r="D68" s="15">
        <f>SUMIFS(M$5:M$48,$F$5:$F$48,$A68,$G$5:$G$48,$C68)</f>
        <v/>
      </c>
      <c r="E68" s="15">
        <f>SUMIFS(Q$5:Q$48,$F$5:$F$48,$A68,$G$5:$G$48,$C68)</f>
        <v/>
      </c>
      <c r="F68" s="32">
        <f>D68-E68</f>
        <v/>
      </c>
      <c r="G68" s="15">
        <f>SUMIFS(N$5:N$48,$F$5:$F$48,$A68,$G$5:$G$48,$C68)</f>
        <v/>
      </c>
      <c r="H68" s="15">
        <f>SUMIFS(R$5:R$48,$F$5:$F$48,$A68,$G$5:$G$48,$C68)</f>
        <v/>
      </c>
      <c r="I68" s="32">
        <f>G68-H68</f>
        <v/>
      </c>
      <c r="J68" s="15">
        <f>SUMIFS(O$5:O$48,$F$5:$F$48,$A68,$G$5:$G$48,$C68)</f>
        <v/>
      </c>
      <c r="K68" s="15">
        <f>SUMIFS(S$5:S$48,$F$5:$F$48,$A68,$G$5:$G$48,$C68)</f>
        <v/>
      </c>
      <c r="L68" s="32">
        <f>J68-K68</f>
        <v/>
      </c>
      <c r="M68" s="15">
        <f>SUM(D68,G68,J68)</f>
        <v/>
      </c>
      <c r="N68" s="15">
        <f>SUM(E68,H68,K68)</f>
        <v/>
      </c>
      <c r="O68" s="32">
        <f>M68-N68</f>
        <v/>
      </c>
      <c r="P68" s="33">
        <f>IF(N68=0,"",M68/N68-1)</f>
        <v/>
      </c>
    </row>
    <row r="69">
      <c r="A69" s="28" t="inlineStr">
        <is>
          <t>Europe &amp; Domestic</t>
        </is>
      </c>
      <c r="B69" s="17" t="n"/>
      <c r="C69" s="10" t="inlineStr">
        <is>
          <t>Evening</t>
        </is>
      </c>
      <c r="D69" s="10">
        <f>SUMIFS(M$5:M$48,$F$5:$F$48,$A69,$G$5:$G$48,$C69)</f>
        <v/>
      </c>
      <c r="E69" s="10">
        <f>SUMIFS(Q$5:Q$48,$F$5:$F$48,$A69,$G$5:$G$48,$C69)</f>
        <v/>
      </c>
      <c r="F69" s="29">
        <f>D69-E69</f>
        <v/>
      </c>
      <c r="G69" s="10">
        <f>SUMIFS(N$5:N$48,$F$5:$F$48,$A69,$G$5:$G$48,$C69)</f>
        <v/>
      </c>
      <c r="H69" s="10">
        <f>SUMIFS(R$5:R$48,$F$5:$F$48,$A69,$G$5:$G$48,$C69)</f>
        <v/>
      </c>
      <c r="I69" s="29">
        <f>G69-H69</f>
        <v/>
      </c>
      <c r="J69" s="10">
        <f>SUMIFS(O$5:O$48,$F$5:$F$48,$A69,$G$5:$G$48,$C69)</f>
        <v/>
      </c>
      <c r="K69" s="10">
        <f>SUMIFS(S$5:S$48,$F$5:$F$48,$A69,$G$5:$G$48,$C69)</f>
        <v/>
      </c>
      <c r="L69" s="29">
        <f>J69-K69</f>
        <v/>
      </c>
      <c r="M69" s="10">
        <f>SUM(D69,G69,J69)</f>
        <v/>
      </c>
      <c r="N69" s="10">
        <f>SUM(E69,H69,K69)</f>
        <v/>
      </c>
      <c r="O69" s="29">
        <f>M69-N69</f>
        <v/>
      </c>
      <c r="P69" s="30">
        <f>IF(N69=0,"",M69/N69-1)</f>
        <v/>
      </c>
    </row>
    <row r="70">
      <c r="A70" s="31" t="inlineStr">
        <is>
          <t>North America</t>
        </is>
      </c>
      <c r="B70" s="18" t="n"/>
      <c r="C70" s="15" t="inlineStr">
        <is>
          <t>Evening</t>
        </is>
      </c>
      <c r="D70" s="15">
        <f>SUMIFS(M$5:M$48,$F$5:$F$48,$A70,$G$5:$G$48,$C70)</f>
        <v/>
      </c>
      <c r="E70" s="15">
        <f>SUMIFS(Q$5:Q$48,$F$5:$F$48,$A70,$G$5:$G$48,$C70)</f>
        <v/>
      </c>
      <c r="F70" s="32">
        <f>D70-E70</f>
        <v/>
      </c>
      <c r="G70" s="15">
        <f>SUMIFS(N$5:N$48,$F$5:$F$48,$A70,$G$5:$G$48,$C70)</f>
        <v/>
      </c>
      <c r="H70" s="15">
        <f>SUMIFS(R$5:R$48,$F$5:$F$48,$A70,$G$5:$G$48,$C70)</f>
        <v/>
      </c>
      <c r="I70" s="32">
        <f>G70-H70</f>
        <v/>
      </c>
      <c r="J70" s="15">
        <f>SUMIFS(O$5:O$48,$F$5:$F$48,$A70,$G$5:$G$48,$C70)</f>
        <v/>
      </c>
      <c r="K70" s="15">
        <f>SUMIFS(S$5:S$48,$F$5:$F$48,$A70,$G$5:$G$48,$C70)</f>
        <v/>
      </c>
      <c r="L70" s="32">
        <f>J70-K70</f>
        <v/>
      </c>
      <c r="M70" s="15">
        <f>SUM(D70,G70,J70)</f>
        <v/>
      </c>
      <c r="N70" s="15">
        <f>SUM(E70,H70,K70)</f>
        <v/>
      </c>
      <c r="O70" s="32">
        <f>M70-N70</f>
        <v/>
      </c>
      <c r="P70" s="33">
        <f>IF(N70=0,"",M70/N70-1)</f>
        <v/>
      </c>
    </row>
    <row r="71">
      <c r="A71" s="28" t="inlineStr">
        <is>
          <t>Middle East &amp; Africa</t>
        </is>
      </c>
      <c r="B71" s="17" t="n"/>
      <c r="C71" s="10" t="inlineStr">
        <is>
          <t>Evening</t>
        </is>
      </c>
      <c r="D71" s="10">
        <f>SUMIFS(M$5:M$48,$F$5:$F$48,$A71,$G$5:$G$48,$C71)</f>
        <v/>
      </c>
      <c r="E71" s="10">
        <f>SUMIFS(Q$5:Q$48,$F$5:$F$48,$A71,$G$5:$G$48,$C71)</f>
        <v/>
      </c>
      <c r="F71" s="29">
        <f>D71-E71</f>
        <v/>
      </c>
      <c r="G71" s="10">
        <f>SUMIFS(N$5:N$48,$F$5:$F$48,$A71,$G$5:$G$48,$C71)</f>
        <v/>
      </c>
      <c r="H71" s="10">
        <f>SUMIFS(R$5:R$48,$F$5:$F$48,$A71,$G$5:$G$48,$C71)</f>
        <v/>
      </c>
      <c r="I71" s="29">
        <f>G71-H71</f>
        <v/>
      </c>
      <c r="J71" s="10">
        <f>SUMIFS(O$5:O$48,$F$5:$F$48,$A71,$G$5:$G$48,$C71)</f>
        <v/>
      </c>
      <c r="K71" s="10">
        <f>SUMIFS(S$5:S$48,$F$5:$F$48,$A71,$G$5:$G$48,$C71)</f>
        <v/>
      </c>
      <c r="L71" s="29">
        <f>J71-K71</f>
        <v/>
      </c>
      <c r="M71" s="10">
        <f>SUM(D71,G71,J71)</f>
        <v/>
      </c>
      <c r="N71" s="10">
        <f>SUM(E71,H71,K71)</f>
        <v/>
      </c>
      <c r="O71" s="29">
        <f>M71-N71</f>
        <v/>
      </c>
      <c r="P71" s="30">
        <f>IF(N71=0,"",M71/N71-1)</f>
        <v/>
      </c>
    </row>
    <row r="72">
      <c r="A72" s="31" t="inlineStr">
        <is>
          <t>Asia &amp; Oceania</t>
        </is>
      </c>
      <c r="B72" s="18" t="n"/>
      <c r="C72" s="15" t="inlineStr">
        <is>
          <t>Evening</t>
        </is>
      </c>
      <c r="D72" s="15">
        <f>SUMIFS(M$5:M$48,$F$5:$F$48,$A72,$G$5:$G$48,$C72)</f>
        <v/>
      </c>
      <c r="E72" s="15">
        <f>SUMIFS(Q$5:Q$48,$F$5:$F$48,$A72,$G$5:$G$48,$C72)</f>
        <v/>
      </c>
      <c r="F72" s="32">
        <f>D72-E72</f>
        <v/>
      </c>
      <c r="G72" s="15">
        <f>SUMIFS(N$5:N$48,$F$5:$F$48,$A72,$G$5:$G$48,$C72)</f>
        <v/>
      </c>
      <c r="H72" s="15">
        <f>SUMIFS(R$5:R$48,$F$5:$F$48,$A72,$G$5:$G$48,$C72)</f>
        <v/>
      </c>
      <c r="I72" s="32">
        <f>G72-H72</f>
        <v/>
      </c>
      <c r="J72" s="15">
        <f>SUMIFS(O$5:O$48,$F$5:$F$48,$A72,$G$5:$G$48,$C72)</f>
        <v/>
      </c>
      <c r="K72" s="15">
        <f>SUMIFS(S$5:S$48,$F$5:$F$48,$A72,$G$5:$G$48,$C72)</f>
        <v/>
      </c>
      <c r="L72" s="32">
        <f>J72-K72</f>
        <v/>
      </c>
      <c r="M72" s="15">
        <f>SUM(D72,G72,J72)</f>
        <v/>
      </c>
      <c r="N72" s="15">
        <f>SUM(E72,H72,K72)</f>
        <v/>
      </c>
      <c r="O72" s="32">
        <f>M72-N72</f>
        <v/>
      </c>
      <c r="P72" s="33">
        <f>IF(N72=0,"",M72/N72-1)</f>
        <v/>
      </c>
    </row>
    <row r="73">
      <c r="A73" s="34" t="inlineStr">
        <is>
          <t>TOTAL - all flights</t>
        </is>
      </c>
      <c r="B73" s="35" t="n"/>
      <c r="C73" s="36" t="n"/>
      <c r="D73" s="21">
        <f>SUM(M$5:M$48)</f>
        <v/>
      </c>
      <c r="E73" s="21">
        <f>SUM(Q$5:Q$48)</f>
        <v/>
      </c>
      <c r="F73" s="37">
        <f>D73-E73</f>
        <v/>
      </c>
      <c r="G73" s="21">
        <f>SUM(N$5:N$48)</f>
        <v/>
      </c>
      <c r="H73" s="21">
        <f>SUM(R$5:R$48)</f>
        <v/>
      </c>
      <c r="I73" s="37">
        <f>G73-H73</f>
        <v/>
      </c>
      <c r="J73" s="21">
        <f>SUM(O$5:O$48)</f>
        <v/>
      </c>
      <c r="K73" s="21">
        <f>SUM(S$5:S$48)</f>
        <v/>
      </c>
      <c r="L73" s="37">
        <f>J73-K73</f>
        <v/>
      </c>
      <c r="M73" s="21">
        <f>SUM(D73,G73,J73)</f>
        <v/>
      </c>
      <c r="N73" s="21">
        <f>SUM(E73,H73,K73)</f>
        <v/>
      </c>
      <c r="O73" s="37">
        <f>M73-N73</f>
        <v/>
      </c>
      <c r="P73" s="38">
        <f>IF(N73=0,"",M73/N73-1)</f>
        <v/>
      </c>
    </row>
    <row r="76">
      <c r="A76" s="6" t="inlineStr">
        <is>
          <t>How to read this sheet</t>
        </is>
      </c>
    </row>
    <row r="77" ht="53" customHeight="1">
      <c r="A77" s="39" t="inlineStr">
        <is>
          <t>Judge the model on the TOTAL row and larger category x time band rows, not single flights</t>
        </is>
      </c>
      <c r="F77" s="5" t="inlineStr">
        <is>
          <t>The lookup predicts an average for a category. The benchmark's own per-flight counts swing wildly (0% to 67% of seats across the dataset, and 174 flights in the full schedule show zero eligible passengers), so an individual flight can legitimately differ by +/-40 people even when the day total is within 10%.</t>
        </is>
      </c>
    </row>
    <row r="78" ht="38" customHeight="1">
      <c r="A78" s="39" t="inlineStr">
        <is>
          <t>Identical modelled values on many European rows are expected, not an error</t>
        </is>
      </c>
      <c r="F78" s="5" t="inlineStr">
        <is>
          <t>Most short-haul rows share one aircraft configuration (180 seats) and the model applies a uniform 85% load factor, so Pax and the modelled totals repeat. Each row still pulls its own category's percentages - change a category cell and the row updates.</t>
        </is>
      </c>
    </row>
    <row r="79" ht="38" customHeight="1">
      <c r="A79" s="39" t="inlineStr">
        <is>
          <t>Flight numbers repeat in the source data</t>
        </is>
      </c>
      <c r="F79" s="5" t="inlineStr">
        <is>
          <t>This date contains two different flights numbered BA6166 (to Amsterdam and to Dallas). The duplicate exists in the Forage schedule itself; the rows are distinct flights and are evaluated separately.</t>
        </is>
      </c>
    </row>
  </sheetData>
  <mergeCells count="36">
    <mergeCell ref="A77:E77"/>
    <mergeCell ref="A64:B64"/>
    <mergeCell ref="A67:B67"/>
    <mergeCell ref="G55:J55"/>
    <mergeCell ref="P59:P60"/>
    <mergeCell ref="G54:J54"/>
    <mergeCell ref="F77:U77"/>
    <mergeCell ref="A70:B70"/>
    <mergeCell ref="A61:B61"/>
    <mergeCell ref="A79:E79"/>
    <mergeCell ref="C59:C60"/>
    <mergeCell ref="A69:B69"/>
    <mergeCell ref="A78:E78"/>
    <mergeCell ref="A2:U2"/>
    <mergeCell ref="A54:E54"/>
    <mergeCell ref="A65:B65"/>
    <mergeCell ref="G52:J52"/>
    <mergeCell ref="A66:B66"/>
    <mergeCell ref="F78:U78"/>
    <mergeCell ref="A55:E55"/>
    <mergeCell ref="A59:B60"/>
    <mergeCell ref="A71:B71"/>
    <mergeCell ref="D59:F59"/>
    <mergeCell ref="G59:I59"/>
    <mergeCell ref="A73:C73"/>
    <mergeCell ref="A53:E53"/>
    <mergeCell ref="M59:O59"/>
    <mergeCell ref="A62:B62"/>
    <mergeCell ref="G53:J53"/>
    <mergeCell ref="A72:B72"/>
    <mergeCell ref="A52:E52"/>
    <mergeCell ref="A68:B68"/>
    <mergeCell ref="A63:B63"/>
    <mergeCell ref="F79:U79"/>
    <mergeCell ref="J59:L59"/>
    <mergeCell ref="A1:U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24" customWidth="1" min="1" max="1"/>
    <col width="13" customWidth="1" min="2" max="2"/>
    <col width="13" customWidth="1" min="3" max="3"/>
    <col width="13" customWidth="1" min="4" max="4"/>
    <col width="95" customWidth="1" min="5" max="5"/>
    <col width="95" customWidth="1" min="6" max="6"/>
  </cols>
  <sheetData>
    <row r="1">
      <c r="A1" s="1" t="inlineStr">
        <is>
          <t>Assumptions &amp; Derivation</t>
        </is>
      </c>
    </row>
    <row r="2">
      <c r="A2" s="2" t="inlineStr">
        <is>
          <t>Base rates (neutral time band) and time-of-day multipliers</t>
        </is>
      </c>
    </row>
    <row r="4">
      <c r="A4" s="3" t="inlineStr">
        <is>
          <t>Route Group</t>
        </is>
      </c>
      <c r="B4" s="3" t="inlineStr">
        <is>
          <t>Route Type</t>
        </is>
      </c>
      <c r="C4" s="3" t="inlineStr">
        <is>
          <t>Tier 1 base %</t>
        </is>
      </c>
      <c r="D4" s="3" t="inlineStr">
        <is>
          <t>Tier 2 base %</t>
        </is>
      </c>
      <c r="E4" s="3" t="inlineStr">
        <is>
          <t>Tier 3 base %</t>
        </is>
      </c>
      <c r="F4" s="3" t="inlineStr">
        <is>
          <t>Rationale</t>
        </is>
      </c>
    </row>
    <row r="5" ht="46" customHeight="1">
      <c r="A5" s="17" t="inlineStr">
        <is>
          <t>Europe &amp; Domestic</t>
        </is>
      </c>
      <c r="B5" s="17" t="inlineStr">
        <is>
          <t>Short-haul</t>
        </is>
      </c>
      <c r="C5" s="8" t="n">
        <v>0.002</v>
      </c>
      <c r="D5" s="8" t="n">
        <v>0.011</v>
      </c>
      <c r="E5" s="8" t="n">
        <v>0.15</v>
      </c>
      <c r="F5" s="5" t="inlineStr">
        <is>
          <t>No First cabin on short-haul (Club Europe only); Tier 1 limited to status/card holders. Corporate-heavy shorthaul keeps Club/Silver share meaningful.</t>
        </is>
      </c>
    </row>
    <row r="6" ht="46" customHeight="1">
      <c r="A6" s="17" t="inlineStr">
        <is>
          <t>North America</t>
        </is>
      </c>
      <c r="B6" s="17" t="inlineStr">
        <is>
          <t>Long-haul</t>
        </is>
      </c>
      <c r="C6" s="8" t="n">
        <v>0.022</v>
      </c>
      <c r="D6" s="8" t="n">
        <v>0.022</v>
      </c>
      <c r="E6" s="8" t="n">
        <v>0.27</v>
      </c>
      <c r="F6" s="5" t="inlineStr">
        <is>
          <t>Highest First and Club World seat share on the network; dense corporate demand from LHR supports elevated Gold/Silver status mix.</t>
        </is>
      </c>
    </row>
    <row r="7" ht="46" customHeight="1">
      <c r="A7" s="17" t="inlineStr">
        <is>
          <t>Asia &amp; Oceania</t>
        </is>
      </c>
      <c r="B7" s="17" t="inlineStr">
        <is>
          <t>Long-haul</t>
        </is>
      </c>
      <c r="C7" s="8" t="n">
        <v>0.027</v>
      </c>
      <c r="D7" s="8" t="n">
        <v>0.024</v>
      </c>
      <c r="E7" s="8" t="n">
        <v>0.29</v>
      </c>
      <c r="F7" s="5" t="inlineStr">
        <is>
          <t>Ultra-long-haul widebodies carry the largest First cabins and highest premium load factors; long sector length drives status accumulation.</t>
        </is>
      </c>
    </row>
    <row r="8" ht="46" customHeight="1">
      <c r="A8" s="17" t="inlineStr">
        <is>
          <t>Middle East &amp; Africa</t>
        </is>
      </c>
      <c r="B8" s="17" t="inlineStr">
        <is>
          <t>Long-haul</t>
        </is>
      </c>
      <c r="C8" s="8" t="n">
        <v>0.017</v>
      </c>
      <c r="D8" s="8" t="n">
        <v>0.018</v>
      </c>
      <c r="E8" s="8" t="n">
        <v>0.225</v>
      </c>
      <c r="F8" s="5" t="inlineStr">
        <is>
          <t>Mixed leisure/corporate; First offered on limited frequencies, Club World share below NA/Asia, strong transfer-driven Silver base.</t>
        </is>
      </c>
    </row>
    <row r="9" ht="46" customHeight="1">
      <c r="A9" s="17" t="inlineStr">
        <is>
          <t>South America</t>
        </is>
      </c>
      <c r="B9" s="17" t="inlineStr">
        <is>
          <t>Long-haul</t>
        </is>
      </c>
      <c r="C9" s="8" t="n">
        <v>0.014</v>
      </c>
      <c r="D9" s="8" t="n">
        <v>0.015</v>
      </c>
      <c r="E9" s="8" t="n">
        <v>0.205</v>
      </c>
      <c r="F9" s="5" t="inlineStr">
        <is>
          <t>Late-evening leisure/business mix; First sold on few frequencies, premium cabin share below network average.</t>
        </is>
      </c>
    </row>
    <row r="11">
      <c r="A11" s="6" t="inlineStr">
        <is>
          <t>Time-of-day multipliers (business intensity index)</t>
        </is>
      </c>
    </row>
    <row r="12">
      <c r="A12" s="3" t="inlineStr">
        <is>
          <t>Route Type</t>
        </is>
      </c>
      <c r="B12" s="3" t="inlineStr">
        <is>
          <t>Early morning</t>
        </is>
      </c>
      <c r="C12" s="3" t="inlineStr">
        <is>
          <t>Midday</t>
        </is>
      </c>
      <c r="D12" s="3" t="inlineStr">
        <is>
          <t>Evening</t>
        </is>
      </c>
      <c r="E12" s="3" t="inlineStr">
        <is>
          <t>Rationale</t>
        </is>
      </c>
    </row>
    <row r="13" ht="40" customHeight="1">
      <c r="A13" s="17" t="inlineStr">
        <is>
          <t>Short-haul</t>
        </is>
      </c>
      <c r="B13" s="40" t="n">
        <v>1.3</v>
      </c>
      <c r="C13" s="40" t="n">
        <v>0.75</v>
      </c>
      <c r="D13" s="40" t="n">
        <v>1.1</v>
      </c>
      <c r="E13" s="5" t="inlineStr">
        <is>
          <t>Corporate demand concentrates in the 05:00-10:00 and late-afternoon banks; midday departures are leisure-heavy.</t>
        </is>
      </c>
    </row>
    <row r="14" ht="40" customHeight="1">
      <c r="A14" s="17" t="inlineStr">
        <is>
          <t>Long-haul</t>
        </is>
      </c>
      <c r="B14" s="40" t="n">
        <v>1.15</v>
      </c>
      <c r="C14" s="40" t="n">
        <v>0.9</v>
      </c>
      <c r="D14" s="40" t="n">
        <v>1.1</v>
      </c>
      <c r="E14" s="5" t="inlineStr">
        <is>
          <t>Long-haul mix is structurally premium-heavy all day; time-of-day effect is smaller, so multipliers are narrower.</t>
        </is>
      </c>
    </row>
    <row r="16">
      <c r="A16" s="6" t="inlineStr">
        <is>
          <t>Supporting notes</t>
        </is>
      </c>
    </row>
    <row r="17" ht="44" customHeight="1">
      <c r="A17" s="41" t="inlineStr">
        <is>
          <t>Base rate construction</t>
        </is>
      </c>
      <c r="B17" s="5" t="inlineStr">
        <is>
          <t>Derived from BA access rules: Tier 1 follows the First cabin sell-through plus premium cardholders; Tier 2 follows BA Gold density; Tier 3 follows Club cabin share plus Silver status. Rates are net - status members travelling in a higher cabin are already counted in the higher tier.</t>
        </is>
      </c>
    </row>
    <row r="18" ht="44" customHeight="1">
      <c r="A18" s="41" t="inlineStr">
        <is>
          <t>Short-haul First</t>
        </is>
      </c>
      <c r="B18" s="5" t="inlineStr">
        <is>
          <t>BA short-haul cabins are Club Europe only, so Tier 1 outside First cabins is limited to premier cardholders and Gold Guest List - modelled at 0.2% base.</t>
        </is>
      </c>
    </row>
    <row r="19" ht="44" customHeight="1">
      <c r="A19" s="41" t="inlineStr">
        <is>
          <t>Load factor assumption</t>
        </is>
      </c>
      <c r="B19" s="5" t="inlineStr">
        <is>
          <t>Percentages are applied to boarded passengers, so load factor is already embedded for forecasting; no separate load factor input is required. When verifying against the schedule dataset (seats only), seats are converted to passengers at an assumed 85% load factor.</t>
        </is>
      </c>
    </row>
    <row r="20" ht="44" customHeight="1">
      <c r="A20" s="41" t="inlineStr">
        <is>
          <t>Validation outcome</t>
        </is>
      </c>
      <c r="B20" s="5" t="inlineStr">
        <is>
          <t>These baseline rates were tested against the BA Summer Schedule dataset (10,000 flights): they ran +46% against actual eligible counts on a representative day, overstating long-haul and understating Europe. The Recommended Lookup sheet therefore carries verified rates; the baseline is kept for audit.</t>
        </is>
      </c>
    </row>
    <row r="21" ht="44" customHeight="1">
      <c r="A21" s="41" t="inlineStr">
        <is>
          <t>Time-of-day effect</t>
        </is>
      </c>
      <c r="B21" s="5" t="inlineStr">
        <is>
          <t>Baseline multipliers (1.30 / 0.75 / 1.10) assumed a strong business-vs-leisure swing; the schedule data shows at most 1.1pp variation within a route group across bands (versus 10.6pp between route groups), so recommended band rates are close to 1.00x. Route group is the dominant dimension.</t>
        </is>
      </c>
    </row>
    <row r="22" ht="44" customHeight="1">
      <c r="A22" s="41" t="inlineStr">
        <is>
          <t>Dataset coverage</t>
        </is>
      </c>
      <c r="B22" s="5" t="inlineStr">
        <is>
          <t>1 Apr - 30 Oct 2025, departures only, regions Europe / North America / Asia / Middle East. Africa and South America are absent - South America recommended rates are judgement, re-based on the verified long-haul pattern; these cells are flagged and should be refreshed when data is available.</t>
        </is>
      </c>
    </row>
    <row r="23" ht="44" customHeight="1">
      <c r="A23" s="41" t="inlineStr">
        <is>
          <t>Tier 1 is hypothetical</t>
        </is>
      </c>
      <c r="B23" s="5" t="inlineStr">
        <is>
          <t>No Concorde Room exists at Terminal 3 today. Tier 1 percentages estimate passengers who would qualify for that level of service, to inform whether a future Tier 1 space is warranted - a potential option, not a confirmed development.</t>
        </is>
      </c>
    </row>
    <row r="24" ht="44" customHeight="1">
      <c r="A24" s="41" t="inlineStr">
        <is>
          <t>What the model deliberately excludes</t>
        </is>
      </c>
      <c r="B24" s="5" t="inlineStr">
        <is>
          <t>Flight numbers, aircraft type, connection traffic and codeshares. This keeps the table portable to any future schedule, including fleet changes not yet defined.</t>
        </is>
      </c>
    </row>
    <row r="25" ht="44" customHeight="1">
      <c r="A25" s="41" t="inlineStr">
        <is>
          <t>Conservatism</t>
        </is>
      </c>
      <c r="B25" s="5" t="inlineStr">
        <is>
          <t>Verified rates are category aggregates (153-2,491 flights per cell) with no growth uplift applied; capacity decisions should still test the +10pc sensitivity case at peak banks.</t>
        </is>
      </c>
    </row>
  </sheetData>
  <mergeCells count="11">
    <mergeCell ref="B21:F21"/>
    <mergeCell ref="A1:G1"/>
    <mergeCell ref="B24:F24"/>
    <mergeCell ref="B20:F20"/>
    <mergeCell ref="B25:F25"/>
    <mergeCell ref="B19:F19"/>
    <mergeCell ref="A2:G2"/>
    <mergeCell ref="B23:F23"/>
    <mergeCell ref="B22:F22"/>
    <mergeCell ref="B17:F17"/>
    <mergeCell ref="B18:F18"/>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cols>
    <col width="10" customWidth="1" min="1" max="1"/>
    <col width="24" customWidth="1" min="2" max="2"/>
    <col width="15" customWidth="1" min="3" max="3"/>
    <col width="9" customWidth="1" min="4" max="4"/>
    <col width="8" customWidth="1" min="5" max="5"/>
    <col width="10" customWidth="1" min="6" max="6"/>
    <col width="10" customWidth="1" min="7" max="7"/>
    <col width="10" customWidth="1" min="8" max="8"/>
    <col width="11" customWidth="1" min="9" max="9"/>
    <col width="11" customWidth="1" min="10" max="10"/>
    <col width="11" customWidth="1" min="11" max="11"/>
    <col width="14" customWidth="1" min="12" max="12"/>
  </cols>
  <sheetData>
    <row r="1">
      <c r="A1" s="1" t="inlineStr">
        <is>
          <t>Worked Example - Illustrative T3 Operating Day</t>
        </is>
      </c>
    </row>
    <row r="2">
      <c r="A2" s="2" t="inlineStr">
        <is>
          <t>Lookups are live SUMIFS against the Lookup Table: replace the schedule, results update</t>
        </is>
      </c>
    </row>
    <row r="4">
      <c r="A4" s="3" t="inlineStr">
        <is>
          <t>Flight</t>
        </is>
      </c>
      <c r="B4" s="3" t="inlineStr">
        <is>
          <t>Route Group</t>
        </is>
      </c>
      <c r="C4" s="3" t="inlineStr">
        <is>
          <t>Time Band</t>
        </is>
      </c>
      <c r="D4" s="3" t="inlineStr">
        <is>
          <t>STD</t>
        </is>
      </c>
      <c r="E4" s="3" t="inlineStr">
        <is>
          <t>Pax</t>
        </is>
      </c>
      <c r="F4" s="3" t="inlineStr">
        <is>
          <t>Tier 1 %</t>
        </is>
      </c>
      <c r="G4" s="3" t="inlineStr">
        <is>
          <t>Tier 2 %</t>
        </is>
      </c>
      <c r="H4" s="3" t="inlineStr">
        <is>
          <t>Tier 3 %</t>
        </is>
      </c>
      <c r="I4" s="3" t="inlineStr">
        <is>
          <t>Tier 1 pax</t>
        </is>
      </c>
      <c r="J4" s="3" t="inlineStr">
        <is>
          <t>Tier 2 pax</t>
        </is>
      </c>
      <c r="K4" s="3" t="inlineStr">
        <is>
          <t>Tier 3 pax</t>
        </is>
      </c>
      <c r="L4" s="3" t="inlineStr">
        <is>
          <t>Total eligible pax</t>
        </is>
      </c>
    </row>
    <row r="5">
      <c r="A5" s="17" t="inlineStr">
        <is>
          <t>BA 498</t>
        </is>
      </c>
      <c r="B5" s="17" t="inlineStr">
        <is>
          <t>Europe &amp; Domestic</t>
        </is>
      </c>
      <c r="C5" s="17" t="inlineStr">
        <is>
          <t>Early morning</t>
        </is>
      </c>
      <c r="D5" s="17" t="inlineStr">
        <is>
          <t>06:40</t>
        </is>
      </c>
      <c r="E5" s="17" t="n">
        <v>174</v>
      </c>
      <c r="F5" s="8">
        <f>SUMIFS('Lookup Table'!$D$5:$D$19,'Lookup Table'!$A$5:$A$19,$B5,'Lookup Table'!$C$5:$C$19,$C5)</f>
        <v/>
      </c>
      <c r="G5" s="8">
        <f>SUMIFS('Lookup Table'!$E$5:$E$19,'Lookup Table'!$A$5:$A$19,$B5,'Lookup Table'!$C$5:$C$19,$C5)</f>
        <v/>
      </c>
      <c r="H5" s="8">
        <f>SUMIFS('Lookup Table'!$F$5:$F$19,'Lookup Table'!$A$5:$A$19,$B5,'Lookup Table'!$C$5:$C$19,$C5)</f>
        <v/>
      </c>
      <c r="I5" s="42">
        <f>ROUND($E5*F5,0)</f>
        <v/>
      </c>
      <c r="J5" s="42">
        <f>ROUND($E5*G5,0)</f>
        <v/>
      </c>
      <c r="K5" s="42">
        <f>ROUND($E5*H5,0)</f>
        <v/>
      </c>
      <c r="L5" s="42">
        <f>SUM(I5:K5)</f>
        <v/>
      </c>
    </row>
    <row r="6">
      <c r="A6" s="17" t="inlineStr">
        <is>
          <t>BA 716</t>
        </is>
      </c>
      <c r="B6" s="17" t="inlineStr">
        <is>
          <t>Europe &amp; Domestic</t>
        </is>
      </c>
      <c r="C6" s="17" t="inlineStr">
        <is>
          <t>Early morning</t>
        </is>
      </c>
      <c r="D6" s="17" t="inlineStr">
        <is>
          <t>08:15</t>
        </is>
      </c>
      <c r="E6" s="17" t="n">
        <v>168</v>
      </c>
      <c r="F6" s="8">
        <f>SUMIFS('Lookup Table'!$D$5:$D$19,'Lookup Table'!$A$5:$A$19,$B6,'Lookup Table'!$C$5:$C$19,$C6)</f>
        <v/>
      </c>
      <c r="G6" s="8">
        <f>SUMIFS('Lookup Table'!$E$5:$E$19,'Lookup Table'!$A$5:$A$19,$B6,'Lookup Table'!$C$5:$C$19,$C6)</f>
        <v/>
      </c>
      <c r="H6" s="8">
        <f>SUMIFS('Lookup Table'!$F$5:$F$19,'Lookup Table'!$A$5:$A$19,$B6,'Lookup Table'!$C$5:$C$19,$C6)</f>
        <v/>
      </c>
      <c r="I6" s="42">
        <f>ROUND($E6*F6,0)</f>
        <v/>
      </c>
      <c r="J6" s="42">
        <f>ROUND($E6*G6,0)</f>
        <v/>
      </c>
      <c r="K6" s="42">
        <f>ROUND($E6*H6,0)</f>
        <v/>
      </c>
      <c r="L6" s="42">
        <f>SUM(I6:K6)</f>
        <v/>
      </c>
    </row>
    <row r="7">
      <c r="A7" s="17" t="inlineStr">
        <is>
          <t>BA 556</t>
        </is>
      </c>
      <c r="B7" s="17" t="inlineStr">
        <is>
          <t>Europe &amp; Domestic</t>
        </is>
      </c>
      <c r="C7" s="17" t="inlineStr">
        <is>
          <t>Midday</t>
        </is>
      </c>
      <c r="D7" s="17" t="inlineStr">
        <is>
          <t>11:30</t>
        </is>
      </c>
      <c r="E7" s="17" t="n">
        <v>171</v>
      </c>
      <c r="F7" s="8">
        <f>SUMIFS('Lookup Table'!$D$5:$D$19,'Lookup Table'!$A$5:$A$19,$B7,'Lookup Table'!$C$5:$C$19,$C7)</f>
        <v/>
      </c>
      <c r="G7" s="8">
        <f>SUMIFS('Lookup Table'!$E$5:$E$19,'Lookup Table'!$A$5:$A$19,$B7,'Lookup Table'!$C$5:$C$19,$C7)</f>
        <v/>
      </c>
      <c r="H7" s="8">
        <f>SUMIFS('Lookup Table'!$F$5:$F$19,'Lookup Table'!$A$5:$A$19,$B7,'Lookup Table'!$C$5:$C$19,$C7)</f>
        <v/>
      </c>
      <c r="I7" s="42">
        <f>ROUND($E7*F7,0)</f>
        <v/>
      </c>
      <c r="J7" s="42">
        <f>ROUND($E7*G7,0)</f>
        <v/>
      </c>
      <c r="K7" s="42">
        <f>ROUND($E7*H7,0)</f>
        <v/>
      </c>
      <c r="L7" s="42">
        <f>SUM(I7:K7)</f>
        <v/>
      </c>
    </row>
    <row r="8">
      <c r="A8" s="17" t="inlineStr">
        <is>
          <t>BA 992</t>
        </is>
      </c>
      <c r="B8" s="17" t="inlineStr">
        <is>
          <t>Europe &amp; Domestic</t>
        </is>
      </c>
      <c r="C8" s="17" t="inlineStr">
        <is>
          <t>Midday</t>
        </is>
      </c>
      <c r="D8" s="17" t="inlineStr">
        <is>
          <t>14:20</t>
        </is>
      </c>
      <c r="E8" s="17" t="n">
        <v>176</v>
      </c>
      <c r="F8" s="8">
        <f>SUMIFS('Lookup Table'!$D$5:$D$19,'Lookup Table'!$A$5:$A$19,$B8,'Lookup Table'!$C$5:$C$19,$C8)</f>
        <v/>
      </c>
      <c r="G8" s="8">
        <f>SUMIFS('Lookup Table'!$E$5:$E$19,'Lookup Table'!$A$5:$A$19,$B8,'Lookup Table'!$C$5:$C$19,$C8)</f>
        <v/>
      </c>
      <c r="H8" s="8">
        <f>SUMIFS('Lookup Table'!$F$5:$F$19,'Lookup Table'!$A$5:$A$19,$B8,'Lookup Table'!$C$5:$C$19,$C8)</f>
        <v/>
      </c>
      <c r="I8" s="42">
        <f>ROUND($E8*F8,0)</f>
        <v/>
      </c>
      <c r="J8" s="42">
        <f>ROUND($E8*G8,0)</f>
        <v/>
      </c>
      <c r="K8" s="42">
        <f>ROUND($E8*H8,0)</f>
        <v/>
      </c>
      <c r="L8" s="42">
        <f>SUM(I8:K8)</f>
        <v/>
      </c>
    </row>
    <row r="9">
      <c r="A9" s="17" t="inlineStr">
        <is>
          <t>BA 486</t>
        </is>
      </c>
      <c r="B9" s="17" t="inlineStr">
        <is>
          <t>Europe &amp; Domestic</t>
        </is>
      </c>
      <c r="C9" s="17" t="inlineStr">
        <is>
          <t>Evening</t>
        </is>
      </c>
      <c r="D9" s="17" t="inlineStr">
        <is>
          <t>17:45</t>
        </is>
      </c>
      <c r="E9" s="17" t="n">
        <v>180</v>
      </c>
      <c r="F9" s="8">
        <f>SUMIFS('Lookup Table'!$D$5:$D$19,'Lookup Table'!$A$5:$A$19,$B9,'Lookup Table'!$C$5:$C$19,$C9)</f>
        <v/>
      </c>
      <c r="G9" s="8">
        <f>SUMIFS('Lookup Table'!$E$5:$E$19,'Lookup Table'!$A$5:$A$19,$B9,'Lookup Table'!$C$5:$C$19,$C9)</f>
        <v/>
      </c>
      <c r="H9" s="8">
        <f>SUMIFS('Lookup Table'!$F$5:$F$19,'Lookup Table'!$A$5:$A$19,$B9,'Lookup Table'!$C$5:$C$19,$C9)</f>
        <v/>
      </c>
      <c r="I9" s="42">
        <f>ROUND($E9*F9,0)</f>
        <v/>
      </c>
      <c r="J9" s="42">
        <f>ROUND($E9*G9,0)</f>
        <v/>
      </c>
      <c r="K9" s="42">
        <f>ROUND($E9*H9,0)</f>
        <v/>
      </c>
      <c r="L9" s="42">
        <f>SUM(I9:K9)</f>
        <v/>
      </c>
    </row>
    <row r="10">
      <c r="A10" s="17" t="inlineStr">
        <is>
          <t>BA 287</t>
        </is>
      </c>
      <c r="B10" s="17" t="inlineStr">
        <is>
          <t>North America</t>
        </is>
      </c>
      <c r="C10" s="17" t="inlineStr">
        <is>
          <t>Early morning</t>
        </is>
      </c>
      <c r="D10" s="17" t="inlineStr">
        <is>
          <t>08:30</t>
        </is>
      </c>
      <c r="E10" s="17" t="n">
        <v>266</v>
      </c>
      <c r="F10" s="8">
        <f>SUMIFS('Lookup Table'!$D$5:$D$19,'Lookup Table'!$A$5:$A$19,$B10,'Lookup Table'!$C$5:$C$19,$C10)</f>
        <v/>
      </c>
      <c r="G10" s="8">
        <f>SUMIFS('Lookup Table'!$E$5:$E$19,'Lookup Table'!$A$5:$A$19,$B10,'Lookup Table'!$C$5:$C$19,$C10)</f>
        <v/>
      </c>
      <c r="H10" s="8">
        <f>SUMIFS('Lookup Table'!$F$5:$F$19,'Lookup Table'!$A$5:$A$19,$B10,'Lookup Table'!$C$5:$C$19,$C10)</f>
        <v/>
      </c>
      <c r="I10" s="42">
        <f>ROUND($E10*F10,0)</f>
        <v/>
      </c>
      <c r="J10" s="42">
        <f>ROUND($E10*G10,0)</f>
        <v/>
      </c>
      <c r="K10" s="42">
        <f>ROUND($E10*H10,0)</f>
        <v/>
      </c>
      <c r="L10" s="42">
        <f>SUM(I10:K10)</f>
        <v/>
      </c>
    </row>
    <row r="11">
      <c r="A11" s="17" t="inlineStr">
        <is>
          <t>BA 175</t>
        </is>
      </c>
      <c r="B11" s="17" t="inlineStr">
        <is>
          <t>North America</t>
        </is>
      </c>
      <c r="C11" s="17" t="inlineStr">
        <is>
          <t>Evening</t>
        </is>
      </c>
      <c r="D11" s="17" t="inlineStr">
        <is>
          <t>16:15</t>
        </is>
      </c>
      <c r="E11" s="17" t="n">
        <v>252</v>
      </c>
      <c r="F11" s="8">
        <f>SUMIFS('Lookup Table'!$D$5:$D$19,'Lookup Table'!$A$5:$A$19,$B11,'Lookup Table'!$C$5:$C$19,$C11)</f>
        <v/>
      </c>
      <c r="G11" s="8">
        <f>SUMIFS('Lookup Table'!$E$5:$E$19,'Lookup Table'!$A$5:$A$19,$B11,'Lookup Table'!$C$5:$C$19,$C11)</f>
        <v/>
      </c>
      <c r="H11" s="8">
        <f>SUMIFS('Lookup Table'!$F$5:$F$19,'Lookup Table'!$A$5:$A$19,$B11,'Lookup Table'!$C$5:$C$19,$C11)</f>
        <v/>
      </c>
      <c r="I11" s="42">
        <f>ROUND($E11*F11,0)</f>
        <v/>
      </c>
      <c r="J11" s="42">
        <f>ROUND($E11*G11,0)</f>
        <v/>
      </c>
      <c r="K11" s="42">
        <f>ROUND($E11*H11,0)</f>
        <v/>
      </c>
      <c r="L11" s="42">
        <f>SUM(I11:K11)</f>
        <v/>
      </c>
    </row>
    <row r="12">
      <c r="A12" s="17" t="inlineStr">
        <is>
          <t>BA 115</t>
        </is>
      </c>
      <c r="B12" s="17" t="inlineStr">
        <is>
          <t>North America</t>
        </is>
      </c>
      <c r="C12" s="17" t="inlineStr">
        <is>
          <t>Evening</t>
        </is>
      </c>
      <c r="D12" s="17" t="inlineStr">
        <is>
          <t>19:30</t>
        </is>
      </c>
      <c r="E12" s="17" t="n">
        <v>297</v>
      </c>
      <c r="F12" s="8">
        <f>SUMIFS('Lookup Table'!$D$5:$D$19,'Lookup Table'!$A$5:$A$19,$B12,'Lookup Table'!$C$5:$C$19,$C12)</f>
        <v/>
      </c>
      <c r="G12" s="8">
        <f>SUMIFS('Lookup Table'!$E$5:$E$19,'Lookup Table'!$A$5:$A$19,$B12,'Lookup Table'!$C$5:$C$19,$C12)</f>
        <v/>
      </c>
      <c r="H12" s="8">
        <f>SUMIFS('Lookup Table'!$F$5:$F$19,'Lookup Table'!$A$5:$A$19,$B12,'Lookup Table'!$C$5:$C$19,$C12)</f>
        <v/>
      </c>
      <c r="I12" s="42">
        <f>ROUND($E12*F12,0)</f>
        <v/>
      </c>
      <c r="J12" s="42">
        <f>ROUND($E12*G12,0)</f>
        <v/>
      </c>
      <c r="K12" s="42">
        <f>ROUND($E12*H12,0)</f>
        <v/>
      </c>
      <c r="L12" s="42">
        <f>SUM(I12:K12)</f>
        <v/>
      </c>
    </row>
    <row r="13">
      <c r="A13" s="17" t="inlineStr">
        <is>
          <t>BA 011</t>
        </is>
      </c>
      <c r="B13" s="17" t="inlineStr">
        <is>
          <t>Asia &amp; Oceania</t>
        </is>
      </c>
      <c r="C13" s="17" t="inlineStr">
        <is>
          <t>Midday</t>
        </is>
      </c>
      <c r="D13" s="17" t="inlineStr">
        <is>
          <t>12:20</t>
        </is>
      </c>
      <c r="E13" s="17" t="n">
        <v>299</v>
      </c>
      <c r="F13" s="8">
        <f>SUMIFS('Lookup Table'!$D$5:$D$19,'Lookup Table'!$A$5:$A$19,$B13,'Lookup Table'!$C$5:$C$19,$C13)</f>
        <v/>
      </c>
      <c r="G13" s="8">
        <f>SUMIFS('Lookup Table'!$E$5:$E$19,'Lookup Table'!$A$5:$A$19,$B13,'Lookup Table'!$C$5:$C$19,$C13)</f>
        <v/>
      </c>
      <c r="H13" s="8">
        <f>SUMIFS('Lookup Table'!$F$5:$F$19,'Lookup Table'!$A$5:$A$19,$B13,'Lookup Table'!$C$5:$C$19,$C13)</f>
        <v/>
      </c>
      <c r="I13" s="42">
        <f>ROUND($E13*F13,0)</f>
        <v/>
      </c>
      <c r="J13" s="42">
        <f>ROUND($E13*G13,0)</f>
        <v/>
      </c>
      <c r="K13" s="42">
        <f>ROUND($E13*H13,0)</f>
        <v/>
      </c>
      <c r="L13" s="42">
        <f>SUM(I13:K13)</f>
        <v/>
      </c>
    </row>
    <row r="14">
      <c r="A14" s="17" t="inlineStr">
        <is>
          <t>BA 039</t>
        </is>
      </c>
      <c r="B14" s="17" t="inlineStr">
        <is>
          <t>Asia &amp; Oceania</t>
        </is>
      </c>
      <c r="C14" s="17" t="inlineStr">
        <is>
          <t>Evening</t>
        </is>
      </c>
      <c r="D14" s="17" t="inlineStr">
        <is>
          <t>18:45</t>
        </is>
      </c>
      <c r="E14" s="17" t="n">
        <v>312</v>
      </c>
      <c r="F14" s="8">
        <f>SUMIFS('Lookup Table'!$D$5:$D$19,'Lookup Table'!$A$5:$A$19,$B14,'Lookup Table'!$C$5:$C$19,$C14)</f>
        <v/>
      </c>
      <c r="G14" s="8">
        <f>SUMIFS('Lookup Table'!$E$5:$E$19,'Lookup Table'!$A$5:$A$19,$B14,'Lookup Table'!$C$5:$C$19,$C14)</f>
        <v/>
      </c>
      <c r="H14" s="8">
        <f>SUMIFS('Lookup Table'!$F$5:$F$19,'Lookup Table'!$A$5:$A$19,$B14,'Lookup Table'!$C$5:$C$19,$C14)</f>
        <v/>
      </c>
      <c r="I14" s="42">
        <f>ROUND($E14*F14,0)</f>
        <v/>
      </c>
      <c r="J14" s="42">
        <f>ROUND($E14*G14,0)</f>
        <v/>
      </c>
      <c r="K14" s="42">
        <f>ROUND($E14*H14,0)</f>
        <v/>
      </c>
      <c r="L14" s="42">
        <f>SUM(I14:K14)</f>
        <v/>
      </c>
    </row>
    <row r="15">
      <c r="A15" s="17" t="inlineStr">
        <is>
          <t>BA 083</t>
        </is>
      </c>
      <c r="B15" s="17" t="inlineStr">
        <is>
          <t>Middle East &amp; Africa</t>
        </is>
      </c>
      <c r="C15" s="17" t="inlineStr">
        <is>
          <t>Early morning</t>
        </is>
      </c>
      <c r="D15" s="17" t="inlineStr">
        <is>
          <t>09:45</t>
        </is>
      </c>
      <c r="E15" s="17" t="n">
        <v>244</v>
      </c>
      <c r="F15" s="8">
        <f>SUMIFS('Lookup Table'!$D$5:$D$19,'Lookup Table'!$A$5:$A$19,$B15,'Lookup Table'!$C$5:$C$19,$C15)</f>
        <v/>
      </c>
      <c r="G15" s="8">
        <f>SUMIFS('Lookup Table'!$E$5:$E$19,'Lookup Table'!$A$5:$A$19,$B15,'Lookup Table'!$C$5:$C$19,$C15)</f>
        <v/>
      </c>
      <c r="H15" s="8">
        <f>SUMIFS('Lookup Table'!$F$5:$F$19,'Lookup Table'!$A$5:$A$19,$B15,'Lookup Table'!$C$5:$C$19,$C15)</f>
        <v/>
      </c>
      <c r="I15" s="42">
        <f>ROUND($E15*F15,0)</f>
        <v/>
      </c>
      <c r="J15" s="42">
        <f>ROUND($E15*G15,0)</f>
        <v/>
      </c>
      <c r="K15" s="42">
        <f>ROUND($E15*H15,0)</f>
        <v/>
      </c>
      <c r="L15" s="42">
        <f>SUM(I15:K15)</f>
        <v/>
      </c>
    </row>
    <row r="16">
      <c r="A16" s="17" t="inlineStr">
        <is>
          <t>BA 105</t>
        </is>
      </c>
      <c r="B16" s="17" t="inlineStr">
        <is>
          <t>Middle East &amp; Africa</t>
        </is>
      </c>
      <c r="C16" s="17" t="inlineStr">
        <is>
          <t>Midday</t>
        </is>
      </c>
      <c r="D16" s="17" t="inlineStr">
        <is>
          <t>10:45</t>
        </is>
      </c>
      <c r="E16" s="17" t="n">
        <v>271</v>
      </c>
      <c r="F16" s="8">
        <f>SUMIFS('Lookup Table'!$D$5:$D$19,'Lookup Table'!$A$5:$A$19,$B16,'Lookup Table'!$C$5:$C$19,$C16)</f>
        <v/>
      </c>
      <c r="G16" s="8">
        <f>SUMIFS('Lookup Table'!$E$5:$E$19,'Lookup Table'!$A$5:$A$19,$B16,'Lookup Table'!$C$5:$C$19,$C16)</f>
        <v/>
      </c>
      <c r="H16" s="8">
        <f>SUMIFS('Lookup Table'!$F$5:$F$19,'Lookup Table'!$A$5:$A$19,$B16,'Lookup Table'!$C$5:$C$19,$C16)</f>
        <v/>
      </c>
      <c r="I16" s="42">
        <f>ROUND($E16*F16,0)</f>
        <v/>
      </c>
      <c r="J16" s="42">
        <f>ROUND($E16*G16,0)</f>
        <v/>
      </c>
      <c r="K16" s="42">
        <f>ROUND($E16*H16,0)</f>
        <v/>
      </c>
      <c r="L16" s="42">
        <f>SUM(I16:K16)</f>
        <v/>
      </c>
    </row>
    <row r="17">
      <c r="A17" s="17" t="inlineStr">
        <is>
          <t>BA 057</t>
        </is>
      </c>
      <c r="B17" s="17" t="inlineStr">
        <is>
          <t>Middle East &amp; Africa</t>
        </is>
      </c>
      <c r="C17" s="17" t="inlineStr">
        <is>
          <t>Evening</t>
        </is>
      </c>
      <c r="D17" s="17" t="inlineStr">
        <is>
          <t>19:55</t>
        </is>
      </c>
      <c r="E17" s="17" t="n">
        <v>287</v>
      </c>
      <c r="F17" s="8">
        <f>SUMIFS('Lookup Table'!$D$5:$D$19,'Lookup Table'!$A$5:$A$19,$B17,'Lookup Table'!$C$5:$C$19,$C17)</f>
        <v/>
      </c>
      <c r="G17" s="8">
        <f>SUMIFS('Lookup Table'!$E$5:$E$19,'Lookup Table'!$A$5:$A$19,$B17,'Lookup Table'!$C$5:$C$19,$C17)</f>
        <v/>
      </c>
      <c r="H17" s="8">
        <f>SUMIFS('Lookup Table'!$F$5:$F$19,'Lookup Table'!$A$5:$A$19,$B17,'Lookup Table'!$C$5:$C$19,$C17)</f>
        <v/>
      </c>
      <c r="I17" s="42">
        <f>ROUND($E17*F17,0)</f>
        <v/>
      </c>
      <c r="J17" s="42">
        <f>ROUND($E17*G17,0)</f>
        <v/>
      </c>
      <c r="K17" s="42">
        <f>ROUND($E17*H17,0)</f>
        <v/>
      </c>
      <c r="L17" s="42">
        <f>SUM(I17:K17)</f>
        <v/>
      </c>
    </row>
    <row r="18">
      <c r="A18" s="17" t="inlineStr">
        <is>
          <t>BA 245</t>
        </is>
      </c>
      <c r="B18" s="17" t="inlineStr">
        <is>
          <t>South America</t>
        </is>
      </c>
      <c r="C18" s="17" t="inlineStr">
        <is>
          <t>Evening</t>
        </is>
      </c>
      <c r="D18" s="17" t="inlineStr">
        <is>
          <t>22:15</t>
        </is>
      </c>
      <c r="E18" s="17" t="n">
        <v>263</v>
      </c>
      <c r="F18" s="8">
        <f>SUMIFS('Lookup Table'!$D$5:$D$19,'Lookup Table'!$A$5:$A$19,$B18,'Lookup Table'!$C$5:$C$19,$C18)</f>
        <v/>
      </c>
      <c r="G18" s="8">
        <f>SUMIFS('Lookup Table'!$E$5:$E$19,'Lookup Table'!$A$5:$A$19,$B18,'Lookup Table'!$C$5:$C$19,$C18)</f>
        <v/>
      </c>
      <c r="H18" s="8">
        <f>SUMIFS('Lookup Table'!$F$5:$F$19,'Lookup Table'!$A$5:$A$19,$B18,'Lookup Table'!$C$5:$C$19,$C18)</f>
        <v/>
      </c>
      <c r="I18" s="42">
        <f>ROUND($E18*F18,0)</f>
        <v/>
      </c>
      <c r="J18" s="42">
        <f>ROUND($E18*G18,0)</f>
        <v/>
      </c>
      <c r="K18" s="42">
        <f>ROUND($E18*H18,0)</f>
        <v/>
      </c>
      <c r="L18" s="42">
        <f>SUM(I18:K18)</f>
        <v/>
      </c>
    </row>
    <row r="19">
      <c r="A19" s="43" t="inlineStr">
        <is>
          <t>TOTAL</t>
        </is>
      </c>
      <c r="B19" s="43" t="n"/>
      <c r="C19" s="43" t="n"/>
      <c r="D19" s="43" t="n"/>
      <c r="E19" s="21">
        <f>SUM(E5:E18)</f>
        <v/>
      </c>
      <c r="F19" s="20" t="n"/>
      <c r="G19" s="20" t="n"/>
      <c r="H19" s="20" t="n"/>
      <c r="I19" s="21">
        <f>SUM(I5:I18)</f>
        <v/>
      </c>
      <c r="J19" s="21">
        <f>SUM(J5:J18)</f>
        <v/>
      </c>
      <c r="K19" s="21">
        <f>SUM(K5:K18)</f>
        <v/>
      </c>
      <c r="L19" s="21">
        <f>SUM(L5:L18)</f>
        <v/>
      </c>
    </row>
    <row r="21" ht="32" customHeight="1">
      <c r="A21" s="44" t="inlineStr">
        <is>
          <t>Result:</t>
        </is>
      </c>
      <c r="B21" s="45" t="inlineStr">
        <is>
          <t>3,360 passengers across 14 departures -&gt; 925 lounge-eligible (27.5%): Tier 1 56, Tier 2 62, Tier 3 807. Volumes can be compared directly with lounge capacity and opening hours.</t>
        </is>
      </c>
    </row>
  </sheetData>
  <mergeCells count="3">
    <mergeCell ref="B21:L21"/>
    <mergeCell ref="A2:L2"/>
    <mergeCell ref="A1:L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26" customWidth="1" min="1" max="1"/>
    <col width="130" customWidth="1" min="2" max="2"/>
  </cols>
  <sheetData>
    <row r="1">
      <c r="A1" s="1" t="inlineStr">
        <is>
          <t>Written Justification</t>
        </is>
      </c>
    </row>
    <row r="2">
      <c r="A2" s="2" t="inlineStr">
        <is>
          <t>Why this lookup table is a defensible basis for lounge demand planning</t>
        </is>
      </c>
    </row>
    <row r="4">
      <c r="A4" s="3" t="inlineStr">
        <is>
          <t>Section</t>
        </is>
      </c>
      <c r="B4" s="3" t="inlineStr">
        <is>
          <t>Justification</t>
        </is>
      </c>
    </row>
    <row r="5" ht="95" customHeight="1">
      <c r="A5" s="4" t="inlineStr">
        <is>
          <t>Objective</t>
        </is>
      </c>
      <c r="B5" s="5" t="inlineStr">
        <is>
          <t>BA needs a repeatable way to forecast how many passengers will be eligible for the Concorde Room, First Lounge and Club Lounge at Heathrow T3 under future schedules that are not yet defined. The model forecasts eligibility from stable demand drivers (route group and time of day) rather than from flight numbers or aircraft types, which change with every schedule - then validates itself against real schedule data.</t>
        </is>
      </c>
    </row>
    <row r="6" ht="130" customHeight="1">
      <c r="A6" s="4" t="inlineStr">
        <is>
          <t>Why these groupings</t>
        </is>
      </c>
      <c r="B6" s="5" t="inlineStr">
        <is>
          <t>Eligibility is driven by the premium cabin mix sold on a route and the status mix of the customers who fly it, both strongly correlated with destination. Time of day captures business-versus-leisure skew within a route. Route Group x Time Band gives 15 cells - granular enough to differentiate demand, coarse enough to survive schedule changes. The data confirms this design: across 10,000 summer flights, eligibility spans 14.9-25.5% of passengers, a 10.6pp difference between route groups, while time bands within a group move the rate by at most 1.1pp - route is the dominant dimension and the bands add fine-tuning, not noise.</t>
        </is>
      </c>
    </row>
    <row r="7" ht="130" customHeight="1">
      <c r="A7" s="4" t="inlineStr">
        <is>
          <t>How the tier rates were derived and then recalibrated</t>
        </is>
      </c>
      <c r="B7" s="5" t="inlineStr">
        <is>
          <t>Rates start from BA's published access rules (Tier 1 = First cabin + premier card status; Tier 2 = BA Gold; Tier 3 = Club cabin + Silver; each passenger counted once at their highest tier, so tiers are mutually exclusive and sum to total eligible share). Initial judgement-based baseline rates were then tested against the BA Summer Schedule dataset: on the 18 Jun 2025 sample day the baseline ran +46% vs the dataset's actual eligible counts (it over-weighted long-haul premium and under-weighted Europe). The Recommended Lookup therefore uses verified rates - eligible counts per category divided by boarded passengers (85% load factor assumed, as the dataset lists seats) - bringing the model within +10% of actuals. The baseline table is retained for audit.</t>
        </is>
      </c>
    </row>
    <row r="8" ht="95" customHeight="1">
      <c r="A8" s="4" t="inlineStr">
        <is>
          <t>The representative sample</t>
        </is>
      </c>
      <c r="B8" s="5" t="inlineStr">
        <is>
          <t>18 June 2025 was selected because it is a full operating day covering all four schedule regions and all three time bands: 44 flights, 10,471 seats, 8,901 passengers at 85% load factor. Every flight is assigned to a category, the recommended percentages are applied via live SUMIFS formulas, and the output is compared with the dataset's TIER1/2/3_ELIGIBLE_PAX. Result: recommended model 1,713 eligible vs 1,557 actual (+10%); hypothetical Tier 1 demand of 15-30 passengers a day.</t>
        </is>
      </c>
    </row>
    <row r="9" ht="130" customHeight="1">
      <c r="A9" s="4" t="inlineStr">
        <is>
          <t>Defensibility of the result</t>
        </is>
      </c>
      <c r="B9" s="5" t="inlineStr">
        <is>
          <t>The lookup is defensible because every cell is traceable: either to a published access rule (assumption baseline) or to a category aggregate over 10,000 flights (verified rates), with 153-2,491 flights behind each verified cell. Counts are mutually exclusive with zero double counting; percentages are per boarded passenger, so load factor is embedded; the model deliberately excludes flight numbers and aircraft types so it remains valid under any future schedule or fleet plan. Tier 1 is presented as a hypothetical Tier 1/Concorde-style space at T3 - no Concorde Room exists there today - sized at roughly 15-30 passengers a day to inform whether such a space is warranted.</t>
        </is>
      </c>
    </row>
    <row r="10" ht="95" customHeight="1">
      <c r="A10" s="4" t="inlineStr">
        <is>
          <t>Reuse with future schedules</t>
        </is>
      </c>
      <c r="B10" s="5" t="inlineStr">
        <is>
          <t>To apply the model to any future schedule, planners classify each flight by route group and departure time band, multiply expected passengers by the recommended percentages, and sum - by day, by peak bank or by lounge. No flight-level data beyond destination, STD and a passenger forecast is required, so the table works for new routes, frequency changes, aircraft swaps or retimed departures. Volumes can then be tested against lounge capacity, opening hours and peak-hour concurrency to target investment.</t>
        </is>
      </c>
    </row>
    <row r="11" ht="95" customHeight="1">
      <c r="A11" s="4" t="inlineStr">
        <is>
          <t>Limitations and next step</t>
        </is>
      </c>
      <c r="B11" s="5" t="inlineStr">
        <is>
          <t>The model estimates eligibility, not usage (eligible passengers may not visit; connecting passengers and other airlines' lounge users are excluded). The schedule dataset covers one summer season (Apr-Oct 2025) with seats rather than passengers, so 85% load factor is assumed; South America/Africa are not in the dataset. Next step: refresh the category aggregation each schedule season and back-test against actual lounge access scans - only the rate cells change, so historical comparisons remain valid.</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2026-10-18T15:21:36Z</dcterms:created>
  <dcterms:modified xmlns:dcterms="http://purl.org/dc/terms/" xmlns:xsi="http://www.w3.org/2001/XMLSchema-instance" xsi:type="dcterms:W3CDTF">2026-10-18T15:21:37Z</dcterms:modified>
</cp:coreProperties>
</file>